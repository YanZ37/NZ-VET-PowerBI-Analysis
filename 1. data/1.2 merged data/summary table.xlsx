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\OneDrive\桌面\VET in NZ report\"/>
    </mc:Choice>
  </mc:AlternateContent>
  <xr:revisionPtr revIDLastSave="0" documentId="13_ncr:1_{9B75DC26-C02C-441B-9ABB-6F1C52746654}" xr6:coauthVersionLast="47" xr6:coauthVersionMax="47" xr10:uidLastSave="{00000000-0000-0000-0000-000000000000}"/>
  <bookViews>
    <workbookView xWindow="-120" yWindow="-120" windowWidth="29040" windowHeight="15840" activeTab="6" xr2:uid="{BB6AF1E4-E196-4D41-80D1-EFF01C09EC1A}"/>
  </bookViews>
  <sheets>
    <sheet name="total" sheetId="1" r:id="rId1"/>
    <sheet name="ethnicity" sheetId="2" r:id="rId2"/>
    <sheet name="gender" sheetId="3" r:id="rId3"/>
    <sheet name="age" sheetId="4" r:id="rId4"/>
    <sheet name="certificate level" sheetId="5" r:id="rId5"/>
    <sheet name="field of study" sheetId="6" r:id="rId6"/>
    <sheet name="reg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" i="7" l="1"/>
  <c r="M76" i="7"/>
  <c r="M71" i="7"/>
  <c r="M66" i="7"/>
  <c r="M61" i="7"/>
  <c r="M56" i="7"/>
  <c r="M51" i="7"/>
  <c r="M46" i="7"/>
  <c r="M41" i="7"/>
  <c r="M36" i="7"/>
  <c r="M31" i="7"/>
  <c r="M26" i="7"/>
  <c r="M21" i="7"/>
  <c r="M16" i="7"/>
  <c r="M11" i="7"/>
  <c r="M6" i="7"/>
  <c r="L81" i="7"/>
  <c r="L76" i="7"/>
  <c r="L71" i="7"/>
  <c r="L66" i="7"/>
  <c r="L61" i="7"/>
  <c r="L56" i="7"/>
  <c r="L51" i="7"/>
  <c r="L46" i="7"/>
  <c r="L41" i="7"/>
  <c r="L36" i="7"/>
  <c r="L31" i="7"/>
  <c r="L26" i="7"/>
  <c r="L21" i="7"/>
  <c r="L16" i="7"/>
  <c r="L11" i="7"/>
  <c r="L6" i="7"/>
  <c r="L36" i="5"/>
  <c r="L31" i="5"/>
  <c r="L26" i="5"/>
  <c r="L21" i="5"/>
  <c r="L16" i="5"/>
  <c r="L11" i="5"/>
  <c r="L6" i="5"/>
  <c r="L11" i="3"/>
  <c r="L6" i="3"/>
  <c r="L26" i="4" l="1"/>
  <c r="L21" i="4"/>
  <c r="L16" i="4"/>
  <c r="L11" i="4"/>
  <c r="L6" i="4"/>
  <c r="C81" i="7"/>
  <c r="D81" i="7"/>
  <c r="E81" i="7"/>
  <c r="F81" i="7"/>
  <c r="G81" i="7"/>
  <c r="H81" i="7"/>
  <c r="I81" i="7"/>
  <c r="J81" i="7"/>
  <c r="K81" i="7"/>
  <c r="B81" i="7"/>
  <c r="D80" i="7"/>
  <c r="E80" i="7"/>
  <c r="F80" i="7"/>
  <c r="G80" i="7"/>
  <c r="H80" i="7"/>
  <c r="I80" i="7"/>
  <c r="J80" i="7"/>
  <c r="K80" i="7"/>
  <c r="C80" i="7"/>
  <c r="C76" i="7"/>
  <c r="D76" i="7"/>
  <c r="E76" i="7"/>
  <c r="F76" i="7"/>
  <c r="G76" i="7"/>
  <c r="H76" i="7"/>
  <c r="I76" i="7"/>
  <c r="J76" i="7"/>
  <c r="K76" i="7"/>
  <c r="B76" i="7"/>
  <c r="D75" i="7"/>
  <c r="E75" i="7"/>
  <c r="F75" i="7"/>
  <c r="G75" i="7"/>
  <c r="H75" i="7"/>
  <c r="I75" i="7"/>
  <c r="J75" i="7"/>
  <c r="K75" i="7"/>
  <c r="C75" i="7"/>
  <c r="C71" i="7"/>
  <c r="D71" i="7"/>
  <c r="E71" i="7"/>
  <c r="F71" i="7"/>
  <c r="G71" i="7"/>
  <c r="H71" i="7"/>
  <c r="I71" i="7"/>
  <c r="J71" i="7"/>
  <c r="K71" i="7"/>
  <c r="B71" i="7"/>
  <c r="D70" i="7"/>
  <c r="E70" i="7"/>
  <c r="F70" i="7"/>
  <c r="G70" i="7"/>
  <c r="H70" i="7"/>
  <c r="I70" i="7"/>
  <c r="J70" i="7"/>
  <c r="K70" i="7"/>
  <c r="C70" i="7"/>
  <c r="C66" i="7"/>
  <c r="D66" i="7"/>
  <c r="E66" i="7"/>
  <c r="F66" i="7"/>
  <c r="G66" i="7"/>
  <c r="H66" i="7"/>
  <c r="I66" i="7"/>
  <c r="J66" i="7"/>
  <c r="K66" i="7"/>
  <c r="B66" i="7"/>
  <c r="D65" i="7"/>
  <c r="E65" i="7"/>
  <c r="F65" i="7"/>
  <c r="G65" i="7"/>
  <c r="H65" i="7"/>
  <c r="I65" i="7"/>
  <c r="J65" i="7"/>
  <c r="K65" i="7"/>
  <c r="C65" i="7"/>
  <c r="C61" i="7"/>
  <c r="D61" i="7"/>
  <c r="E61" i="7"/>
  <c r="F61" i="7"/>
  <c r="G61" i="7"/>
  <c r="H61" i="7"/>
  <c r="I61" i="7"/>
  <c r="J61" i="7"/>
  <c r="K61" i="7"/>
  <c r="B61" i="7"/>
  <c r="D60" i="7"/>
  <c r="E60" i="7"/>
  <c r="F60" i="7"/>
  <c r="G60" i="7"/>
  <c r="H60" i="7"/>
  <c r="I60" i="7"/>
  <c r="J60" i="7"/>
  <c r="K60" i="7"/>
  <c r="C60" i="7"/>
  <c r="C56" i="7"/>
  <c r="D56" i="7"/>
  <c r="E56" i="7"/>
  <c r="F56" i="7"/>
  <c r="G56" i="7"/>
  <c r="H56" i="7"/>
  <c r="I56" i="7"/>
  <c r="J56" i="7"/>
  <c r="K56" i="7"/>
  <c r="B56" i="7"/>
  <c r="D55" i="7"/>
  <c r="E55" i="7"/>
  <c r="F55" i="7"/>
  <c r="G55" i="7"/>
  <c r="H55" i="7"/>
  <c r="I55" i="7"/>
  <c r="J55" i="7"/>
  <c r="K55" i="7"/>
  <c r="C55" i="7"/>
  <c r="C51" i="7"/>
  <c r="D51" i="7"/>
  <c r="E51" i="7"/>
  <c r="F51" i="7"/>
  <c r="G51" i="7"/>
  <c r="H51" i="7"/>
  <c r="I51" i="7"/>
  <c r="J51" i="7"/>
  <c r="K51" i="7"/>
  <c r="B51" i="7"/>
  <c r="D50" i="7"/>
  <c r="E50" i="7"/>
  <c r="F50" i="7"/>
  <c r="G50" i="7"/>
  <c r="H50" i="7"/>
  <c r="I50" i="7"/>
  <c r="J50" i="7"/>
  <c r="K50" i="7"/>
  <c r="C50" i="7"/>
  <c r="C46" i="7"/>
  <c r="D46" i="7"/>
  <c r="E46" i="7"/>
  <c r="F46" i="7"/>
  <c r="G46" i="7"/>
  <c r="H46" i="7"/>
  <c r="I46" i="7"/>
  <c r="J46" i="7"/>
  <c r="K46" i="7"/>
  <c r="B46" i="7"/>
  <c r="D45" i="7"/>
  <c r="E45" i="7"/>
  <c r="F45" i="7"/>
  <c r="G45" i="7"/>
  <c r="H45" i="7"/>
  <c r="I45" i="7"/>
  <c r="J45" i="7"/>
  <c r="K45" i="7"/>
  <c r="C45" i="7"/>
  <c r="C41" i="7"/>
  <c r="D41" i="7"/>
  <c r="E41" i="7"/>
  <c r="F41" i="7"/>
  <c r="G41" i="7"/>
  <c r="H41" i="7"/>
  <c r="I41" i="7"/>
  <c r="J41" i="7"/>
  <c r="K41" i="7"/>
  <c r="B41" i="7"/>
  <c r="D40" i="7"/>
  <c r="E40" i="7"/>
  <c r="F40" i="7"/>
  <c r="G40" i="7"/>
  <c r="H40" i="7"/>
  <c r="I40" i="7"/>
  <c r="J40" i="7"/>
  <c r="K40" i="7"/>
  <c r="C40" i="7"/>
  <c r="C36" i="7"/>
  <c r="D36" i="7"/>
  <c r="E36" i="7"/>
  <c r="F36" i="7"/>
  <c r="G36" i="7"/>
  <c r="H36" i="7"/>
  <c r="I36" i="7"/>
  <c r="J36" i="7"/>
  <c r="K36" i="7"/>
  <c r="B36" i="7"/>
  <c r="D35" i="7"/>
  <c r="E35" i="7"/>
  <c r="F35" i="7"/>
  <c r="G35" i="7"/>
  <c r="H35" i="7"/>
  <c r="I35" i="7"/>
  <c r="J35" i="7"/>
  <c r="K35" i="7"/>
  <c r="C35" i="7"/>
  <c r="C31" i="7"/>
  <c r="D31" i="7"/>
  <c r="E31" i="7"/>
  <c r="F31" i="7"/>
  <c r="G31" i="7"/>
  <c r="H31" i="7"/>
  <c r="I31" i="7"/>
  <c r="J31" i="7"/>
  <c r="K31" i="7"/>
  <c r="B31" i="7"/>
  <c r="D30" i="7"/>
  <c r="E30" i="7"/>
  <c r="F30" i="7"/>
  <c r="G30" i="7"/>
  <c r="H30" i="7"/>
  <c r="I30" i="7"/>
  <c r="J30" i="7"/>
  <c r="K30" i="7"/>
  <c r="C30" i="7"/>
  <c r="C26" i="7"/>
  <c r="D26" i="7"/>
  <c r="E26" i="7"/>
  <c r="F26" i="7"/>
  <c r="G26" i="7"/>
  <c r="H26" i="7"/>
  <c r="I26" i="7"/>
  <c r="J26" i="7"/>
  <c r="K26" i="7"/>
  <c r="B26" i="7"/>
  <c r="D25" i="7"/>
  <c r="E25" i="7"/>
  <c r="F25" i="7"/>
  <c r="G25" i="7"/>
  <c r="H25" i="7"/>
  <c r="I25" i="7"/>
  <c r="J25" i="7"/>
  <c r="K25" i="7"/>
  <c r="C25" i="7"/>
  <c r="C21" i="7"/>
  <c r="D21" i="7"/>
  <c r="E21" i="7"/>
  <c r="F21" i="7"/>
  <c r="G21" i="7"/>
  <c r="H21" i="7"/>
  <c r="I21" i="7"/>
  <c r="J21" i="7"/>
  <c r="K21" i="7"/>
  <c r="B21" i="7"/>
  <c r="D20" i="7"/>
  <c r="E20" i="7"/>
  <c r="F20" i="7"/>
  <c r="G20" i="7"/>
  <c r="H20" i="7"/>
  <c r="I20" i="7"/>
  <c r="J20" i="7"/>
  <c r="K20" i="7"/>
  <c r="C20" i="7"/>
  <c r="C16" i="7"/>
  <c r="D16" i="7"/>
  <c r="E16" i="7"/>
  <c r="F16" i="7"/>
  <c r="G16" i="7"/>
  <c r="H16" i="7"/>
  <c r="I16" i="7"/>
  <c r="J16" i="7"/>
  <c r="K16" i="7"/>
  <c r="B16" i="7"/>
  <c r="D15" i="7"/>
  <c r="E15" i="7"/>
  <c r="F15" i="7"/>
  <c r="G15" i="7"/>
  <c r="H15" i="7"/>
  <c r="I15" i="7"/>
  <c r="J15" i="7"/>
  <c r="K15" i="7"/>
  <c r="C15" i="7"/>
  <c r="C11" i="7"/>
  <c r="D11" i="7"/>
  <c r="E11" i="7"/>
  <c r="F11" i="7"/>
  <c r="G11" i="7"/>
  <c r="H11" i="7"/>
  <c r="I11" i="7"/>
  <c r="J11" i="7"/>
  <c r="K11" i="7"/>
  <c r="B11" i="7"/>
  <c r="D10" i="7"/>
  <c r="E10" i="7"/>
  <c r="F10" i="7"/>
  <c r="G10" i="7"/>
  <c r="H10" i="7"/>
  <c r="I10" i="7"/>
  <c r="J10" i="7"/>
  <c r="K10" i="7"/>
  <c r="C10" i="7"/>
  <c r="C6" i="7"/>
  <c r="D6" i="7"/>
  <c r="E6" i="7"/>
  <c r="F6" i="7"/>
  <c r="G6" i="7"/>
  <c r="H6" i="7"/>
  <c r="I6" i="7"/>
  <c r="J6" i="7"/>
  <c r="K6" i="7"/>
  <c r="B6" i="7"/>
  <c r="D5" i="7"/>
  <c r="E5" i="7"/>
  <c r="F5" i="7"/>
  <c r="G5" i="7"/>
  <c r="H5" i="7"/>
  <c r="I5" i="7"/>
  <c r="J5" i="7"/>
  <c r="K5" i="7"/>
  <c r="C5" i="7"/>
  <c r="D38" i="6"/>
  <c r="E38" i="6"/>
  <c r="F38" i="6"/>
  <c r="G38" i="6"/>
  <c r="H38" i="6"/>
  <c r="I38" i="6"/>
  <c r="J38" i="6"/>
  <c r="K38" i="6"/>
  <c r="C38" i="6"/>
  <c r="C37" i="6"/>
  <c r="D37" i="6"/>
  <c r="E37" i="6"/>
  <c r="F37" i="6"/>
  <c r="G37" i="6"/>
  <c r="H37" i="6"/>
  <c r="I37" i="6"/>
  <c r="J37" i="6"/>
  <c r="K37" i="6"/>
  <c r="B37" i="6"/>
  <c r="D35" i="6"/>
  <c r="E35" i="6"/>
  <c r="F35" i="6"/>
  <c r="G35" i="6"/>
  <c r="H35" i="6"/>
  <c r="I35" i="6"/>
  <c r="J35" i="6"/>
  <c r="K35" i="6"/>
  <c r="C35" i="6"/>
  <c r="C34" i="6"/>
  <c r="D34" i="6"/>
  <c r="E34" i="6"/>
  <c r="F34" i="6"/>
  <c r="G34" i="6"/>
  <c r="H34" i="6"/>
  <c r="I34" i="6"/>
  <c r="J34" i="6"/>
  <c r="K34" i="6"/>
  <c r="B34" i="6"/>
  <c r="D32" i="6"/>
  <c r="E32" i="6"/>
  <c r="F32" i="6"/>
  <c r="G32" i="6"/>
  <c r="H32" i="6"/>
  <c r="I32" i="6"/>
  <c r="J32" i="6"/>
  <c r="K32" i="6"/>
  <c r="C32" i="6"/>
  <c r="C31" i="6"/>
  <c r="D31" i="6"/>
  <c r="E31" i="6"/>
  <c r="F31" i="6"/>
  <c r="G31" i="6"/>
  <c r="H31" i="6"/>
  <c r="I31" i="6"/>
  <c r="J31" i="6"/>
  <c r="K31" i="6"/>
  <c r="B31" i="6"/>
  <c r="D29" i="6"/>
  <c r="E29" i="6"/>
  <c r="F29" i="6"/>
  <c r="G29" i="6"/>
  <c r="H29" i="6"/>
  <c r="I29" i="6"/>
  <c r="J29" i="6"/>
  <c r="K29" i="6"/>
  <c r="C29" i="6"/>
  <c r="C28" i="6"/>
  <c r="D28" i="6"/>
  <c r="E28" i="6"/>
  <c r="F28" i="6"/>
  <c r="G28" i="6"/>
  <c r="H28" i="6"/>
  <c r="I28" i="6"/>
  <c r="J28" i="6"/>
  <c r="K28" i="6"/>
  <c r="B28" i="6"/>
  <c r="D26" i="6"/>
  <c r="E26" i="6"/>
  <c r="F26" i="6"/>
  <c r="G26" i="6"/>
  <c r="H26" i="6"/>
  <c r="I26" i="6"/>
  <c r="J26" i="6"/>
  <c r="K26" i="6"/>
  <c r="C26" i="6"/>
  <c r="C25" i="6"/>
  <c r="D25" i="6"/>
  <c r="E25" i="6"/>
  <c r="F25" i="6"/>
  <c r="G25" i="6"/>
  <c r="H25" i="6"/>
  <c r="I25" i="6"/>
  <c r="J25" i="6"/>
  <c r="K25" i="6"/>
  <c r="B25" i="6"/>
  <c r="D23" i="6"/>
  <c r="E23" i="6"/>
  <c r="F23" i="6"/>
  <c r="G23" i="6"/>
  <c r="H23" i="6"/>
  <c r="I23" i="6"/>
  <c r="J23" i="6"/>
  <c r="K23" i="6"/>
  <c r="C23" i="6"/>
  <c r="C22" i="6"/>
  <c r="D22" i="6"/>
  <c r="E22" i="6"/>
  <c r="F22" i="6"/>
  <c r="G22" i="6"/>
  <c r="H22" i="6"/>
  <c r="I22" i="6"/>
  <c r="J22" i="6"/>
  <c r="K22" i="6"/>
  <c r="B22" i="6"/>
  <c r="D20" i="6"/>
  <c r="E20" i="6"/>
  <c r="F20" i="6"/>
  <c r="G20" i="6"/>
  <c r="H20" i="6"/>
  <c r="I20" i="6"/>
  <c r="J20" i="6"/>
  <c r="K20" i="6"/>
  <c r="C20" i="6"/>
  <c r="C19" i="6"/>
  <c r="D19" i="6"/>
  <c r="E19" i="6"/>
  <c r="F19" i="6"/>
  <c r="G19" i="6"/>
  <c r="H19" i="6"/>
  <c r="I19" i="6"/>
  <c r="J19" i="6"/>
  <c r="K19" i="6"/>
  <c r="B19" i="6"/>
  <c r="D17" i="6"/>
  <c r="E17" i="6"/>
  <c r="F17" i="6"/>
  <c r="G17" i="6"/>
  <c r="H17" i="6"/>
  <c r="I17" i="6"/>
  <c r="J17" i="6"/>
  <c r="K17" i="6"/>
  <c r="C17" i="6"/>
  <c r="C16" i="6"/>
  <c r="D16" i="6"/>
  <c r="E16" i="6"/>
  <c r="F16" i="6"/>
  <c r="G16" i="6"/>
  <c r="H16" i="6"/>
  <c r="I16" i="6"/>
  <c r="J16" i="6"/>
  <c r="K16" i="6"/>
  <c r="B16" i="6"/>
  <c r="D14" i="6"/>
  <c r="E14" i="6"/>
  <c r="F14" i="6"/>
  <c r="G14" i="6"/>
  <c r="H14" i="6"/>
  <c r="I14" i="6"/>
  <c r="J14" i="6"/>
  <c r="K14" i="6"/>
  <c r="C14" i="6"/>
  <c r="C13" i="6"/>
  <c r="D13" i="6"/>
  <c r="E13" i="6"/>
  <c r="F13" i="6"/>
  <c r="G13" i="6"/>
  <c r="H13" i="6"/>
  <c r="I13" i="6"/>
  <c r="J13" i="6"/>
  <c r="K13" i="6"/>
  <c r="B13" i="6"/>
  <c r="D11" i="6"/>
  <c r="E11" i="6"/>
  <c r="F11" i="6"/>
  <c r="G11" i="6"/>
  <c r="H11" i="6"/>
  <c r="I11" i="6"/>
  <c r="J11" i="6"/>
  <c r="K11" i="6"/>
  <c r="C11" i="6"/>
  <c r="C10" i="6"/>
  <c r="D10" i="6"/>
  <c r="E10" i="6"/>
  <c r="F10" i="6"/>
  <c r="G10" i="6"/>
  <c r="H10" i="6"/>
  <c r="I10" i="6"/>
  <c r="J10" i="6"/>
  <c r="K10" i="6"/>
  <c r="B10" i="6"/>
  <c r="D8" i="6"/>
  <c r="E8" i="6"/>
  <c r="F8" i="6"/>
  <c r="G8" i="6"/>
  <c r="H8" i="6"/>
  <c r="I8" i="6"/>
  <c r="J8" i="6"/>
  <c r="K8" i="6"/>
  <c r="C8" i="6"/>
  <c r="C7" i="6"/>
  <c r="D7" i="6"/>
  <c r="E7" i="6"/>
  <c r="F7" i="6"/>
  <c r="G7" i="6"/>
  <c r="H7" i="6"/>
  <c r="I7" i="6"/>
  <c r="J7" i="6"/>
  <c r="K7" i="6"/>
  <c r="B7" i="6"/>
  <c r="D5" i="6"/>
  <c r="E5" i="6"/>
  <c r="F5" i="6"/>
  <c r="G5" i="6"/>
  <c r="H5" i="6"/>
  <c r="I5" i="6"/>
  <c r="J5" i="6"/>
  <c r="K5" i="6"/>
  <c r="C5" i="6"/>
  <c r="D4" i="6"/>
  <c r="E4" i="6"/>
  <c r="F4" i="6"/>
  <c r="G4" i="6"/>
  <c r="H4" i="6"/>
  <c r="I4" i="6"/>
  <c r="J4" i="6"/>
  <c r="K4" i="6"/>
  <c r="C4" i="6"/>
  <c r="B4" i="6"/>
  <c r="C36" i="5" l="1"/>
  <c r="D36" i="5"/>
  <c r="E36" i="5"/>
  <c r="F36" i="5"/>
  <c r="G36" i="5"/>
  <c r="H36" i="5"/>
  <c r="I36" i="5"/>
  <c r="J36" i="5"/>
  <c r="K36" i="5"/>
  <c r="B36" i="5"/>
  <c r="C31" i="5"/>
  <c r="D31" i="5"/>
  <c r="E31" i="5"/>
  <c r="F31" i="5"/>
  <c r="G31" i="5"/>
  <c r="H31" i="5"/>
  <c r="I31" i="5"/>
  <c r="J31" i="5"/>
  <c r="K31" i="5"/>
  <c r="B31" i="5"/>
  <c r="C26" i="5"/>
  <c r="D26" i="5"/>
  <c r="E26" i="5"/>
  <c r="F26" i="5"/>
  <c r="G26" i="5"/>
  <c r="H26" i="5"/>
  <c r="I26" i="5"/>
  <c r="J26" i="5"/>
  <c r="K26" i="5"/>
  <c r="B26" i="5"/>
  <c r="C21" i="5"/>
  <c r="D21" i="5"/>
  <c r="E21" i="5"/>
  <c r="F21" i="5"/>
  <c r="G21" i="5"/>
  <c r="H21" i="5"/>
  <c r="I21" i="5"/>
  <c r="J21" i="5"/>
  <c r="K21" i="5"/>
  <c r="B21" i="5"/>
  <c r="C16" i="5"/>
  <c r="D16" i="5"/>
  <c r="E16" i="5"/>
  <c r="F16" i="5"/>
  <c r="G16" i="5"/>
  <c r="H16" i="5"/>
  <c r="I16" i="5"/>
  <c r="J16" i="5"/>
  <c r="K16" i="5"/>
  <c r="B16" i="5"/>
  <c r="C11" i="5"/>
  <c r="D11" i="5"/>
  <c r="E11" i="5"/>
  <c r="F11" i="5"/>
  <c r="G11" i="5"/>
  <c r="H11" i="5"/>
  <c r="I11" i="5"/>
  <c r="J11" i="5"/>
  <c r="K11" i="5"/>
  <c r="B11" i="5"/>
  <c r="C6" i="5"/>
  <c r="D6" i="5"/>
  <c r="B6" i="5"/>
  <c r="D35" i="5"/>
  <c r="E35" i="5"/>
  <c r="F35" i="5"/>
  <c r="G35" i="5"/>
  <c r="H35" i="5"/>
  <c r="I35" i="5"/>
  <c r="J35" i="5"/>
  <c r="K35" i="5"/>
  <c r="C35" i="5"/>
  <c r="D30" i="5"/>
  <c r="E30" i="5"/>
  <c r="F30" i="5"/>
  <c r="G30" i="5"/>
  <c r="H30" i="5"/>
  <c r="I30" i="5"/>
  <c r="J30" i="5"/>
  <c r="K30" i="5"/>
  <c r="C30" i="5"/>
  <c r="D25" i="5"/>
  <c r="E25" i="5"/>
  <c r="F25" i="5"/>
  <c r="G25" i="5"/>
  <c r="H25" i="5"/>
  <c r="I25" i="5"/>
  <c r="J25" i="5"/>
  <c r="K25" i="5"/>
  <c r="C25" i="5"/>
  <c r="D20" i="5"/>
  <c r="E20" i="5"/>
  <c r="F20" i="5"/>
  <c r="G20" i="5"/>
  <c r="H20" i="5"/>
  <c r="I20" i="5"/>
  <c r="J20" i="5"/>
  <c r="K20" i="5"/>
  <c r="C20" i="5"/>
  <c r="D15" i="5"/>
  <c r="E15" i="5"/>
  <c r="F15" i="5"/>
  <c r="G15" i="5"/>
  <c r="H15" i="5"/>
  <c r="I15" i="5"/>
  <c r="J15" i="5"/>
  <c r="K15" i="5"/>
  <c r="C15" i="5"/>
  <c r="D10" i="5"/>
  <c r="E10" i="5"/>
  <c r="F10" i="5"/>
  <c r="G10" i="5"/>
  <c r="H10" i="5"/>
  <c r="I10" i="5"/>
  <c r="J10" i="5"/>
  <c r="K10" i="5"/>
  <c r="C10" i="5"/>
  <c r="D5" i="5"/>
  <c r="E5" i="5"/>
  <c r="C5" i="5"/>
  <c r="C26" i="4"/>
  <c r="D26" i="4"/>
  <c r="E26" i="4"/>
  <c r="F26" i="4"/>
  <c r="G26" i="4"/>
  <c r="H26" i="4"/>
  <c r="I26" i="4"/>
  <c r="J26" i="4"/>
  <c r="K26" i="4"/>
  <c r="B26" i="4"/>
  <c r="C21" i="4"/>
  <c r="D21" i="4"/>
  <c r="E21" i="4"/>
  <c r="F21" i="4"/>
  <c r="G21" i="4"/>
  <c r="H21" i="4"/>
  <c r="I21" i="4"/>
  <c r="J21" i="4"/>
  <c r="K21" i="4"/>
  <c r="B21" i="4"/>
  <c r="C16" i="4"/>
  <c r="D16" i="4"/>
  <c r="E16" i="4"/>
  <c r="F16" i="4"/>
  <c r="G16" i="4"/>
  <c r="H16" i="4"/>
  <c r="I16" i="4"/>
  <c r="J16" i="4"/>
  <c r="K16" i="4"/>
  <c r="B16" i="4"/>
  <c r="C11" i="4"/>
  <c r="D11" i="4"/>
  <c r="E11" i="4"/>
  <c r="F11" i="4"/>
  <c r="G11" i="4"/>
  <c r="H11" i="4"/>
  <c r="I11" i="4"/>
  <c r="J11" i="4"/>
  <c r="K11" i="4"/>
  <c r="B11" i="4"/>
  <c r="C6" i="4"/>
  <c r="D6" i="4"/>
  <c r="E6" i="4"/>
  <c r="F6" i="4"/>
  <c r="G6" i="4"/>
  <c r="H6" i="4"/>
  <c r="I6" i="4"/>
  <c r="J6" i="4"/>
  <c r="K6" i="4"/>
  <c r="B6" i="4"/>
  <c r="D25" i="4"/>
  <c r="E25" i="4"/>
  <c r="F25" i="4"/>
  <c r="G25" i="4"/>
  <c r="H25" i="4"/>
  <c r="I25" i="4"/>
  <c r="J25" i="4"/>
  <c r="K25" i="4"/>
  <c r="C25" i="4"/>
  <c r="D20" i="4"/>
  <c r="E20" i="4"/>
  <c r="F20" i="4"/>
  <c r="G20" i="4"/>
  <c r="H20" i="4"/>
  <c r="I20" i="4"/>
  <c r="J20" i="4"/>
  <c r="K20" i="4"/>
  <c r="C20" i="4"/>
  <c r="D15" i="4"/>
  <c r="E15" i="4"/>
  <c r="F15" i="4"/>
  <c r="G15" i="4"/>
  <c r="H15" i="4"/>
  <c r="I15" i="4"/>
  <c r="J15" i="4"/>
  <c r="K15" i="4"/>
  <c r="C15" i="4"/>
  <c r="D10" i="4"/>
  <c r="E10" i="4"/>
  <c r="F10" i="4"/>
  <c r="G10" i="4"/>
  <c r="H10" i="4"/>
  <c r="I10" i="4"/>
  <c r="J10" i="4"/>
  <c r="K10" i="4"/>
  <c r="C10" i="4"/>
  <c r="D5" i="4"/>
  <c r="E5" i="4"/>
  <c r="F5" i="4"/>
  <c r="G5" i="4"/>
  <c r="H5" i="4"/>
  <c r="I5" i="4"/>
  <c r="J5" i="4"/>
  <c r="K5" i="4"/>
  <c r="C5" i="4"/>
  <c r="C11" i="3"/>
  <c r="D11" i="3"/>
  <c r="E11" i="3"/>
  <c r="F11" i="3"/>
  <c r="G11" i="3"/>
  <c r="H11" i="3"/>
  <c r="I11" i="3"/>
  <c r="J11" i="3"/>
  <c r="K11" i="3"/>
  <c r="B11" i="3"/>
  <c r="D10" i="3"/>
  <c r="E10" i="3"/>
  <c r="F10" i="3"/>
  <c r="G10" i="3"/>
  <c r="H10" i="3"/>
  <c r="I10" i="3"/>
  <c r="J10" i="3"/>
  <c r="K10" i="3"/>
  <c r="C10" i="3"/>
  <c r="C6" i="3"/>
  <c r="D6" i="3"/>
  <c r="E6" i="3"/>
  <c r="F6" i="3"/>
  <c r="G6" i="3"/>
  <c r="H6" i="3"/>
  <c r="I6" i="3"/>
  <c r="J6" i="3"/>
  <c r="K6" i="3"/>
  <c r="B6" i="3"/>
  <c r="D5" i="3"/>
  <c r="E5" i="3"/>
  <c r="F5" i="3"/>
  <c r="G5" i="3"/>
  <c r="H5" i="3"/>
  <c r="I5" i="3"/>
  <c r="J5" i="3"/>
  <c r="K5" i="3"/>
  <c r="C5" i="3"/>
  <c r="C26" i="2"/>
  <c r="D26" i="2"/>
  <c r="E26" i="2"/>
  <c r="F26" i="2"/>
  <c r="G26" i="2"/>
  <c r="H26" i="2"/>
  <c r="I26" i="2"/>
  <c r="J26" i="2"/>
  <c r="K26" i="2"/>
  <c r="B26" i="2"/>
  <c r="D25" i="2"/>
  <c r="E25" i="2"/>
  <c r="F25" i="2"/>
  <c r="G25" i="2"/>
  <c r="H25" i="2"/>
  <c r="I25" i="2"/>
  <c r="J25" i="2"/>
  <c r="K25" i="2"/>
  <c r="C25" i="2"/>
  <c r="C21" i="2"/>
  <c r="D21" i="2"/>
  <c r="E21" i="2"/>
  <c r="F21" i="2"/>
  <c r="G21" i="2"/>
  <c r="H21" i="2"/>
  <c r="I21" i="2"/>
  <c r="J21" i="2"/>
  <c r="K21" i="2"/>
  <c r="B21" i="2"/>
  <c r="D20" i="2"/>
  <c r="E20" i="2"/>
  <c r="F20" i="2"/>
  <c r="G20" i="2"/>
  <c r="H20" i="2"/>
  <c r="I20" i="2"/>
  <c r="J20" i="2"/>
  <c r="K20" i="2"/>
  <c r="C20" i="2"/>
  <c r="C16" i="2"/>
  <c r="D16" i="2"/>
  <c r="E16" i="2"/>
  <c r="F16" i="2"/>
  <c r="G16" i="2"/>
  <c r="H16" i="2"/>
  <c r="I16" i="2"/>
  <c r="J16" i="2"/>
  <c r="K16" i="2"/>
  <c r="B16" i="2"/>
  <c r="D15" i="2"/>
  <c r="E15" i="2"/>
  <c r="F15" i="2"/>
  <c r="G15" i="2"/>
  <c r="H15" i="2"/>
  <c r="I15" i="2"/>
  <c r="J15" i="2"/>
  <c r="K15" i="2"/>
  <c r="C15" i="2"/>
  <c r="C11" i="2"/>
  <c r="D11" i="2"/>
  <c r="E11" i="2"/>
  <c r="F11" i="2"/>
  <c r="G11" i="2"/>
  <c r="H11" i="2"/>
  <c r="I11" i="2"/>
  <c r="J11" i="2"/>
  <c r="K11" i="2"/>
  <c r="B11" i="2"/>
  <c r="D10" i="2"/>
  <c r="E10" i="2"/>
  <c r="F10" i="2"/>
  <c r="G10" i="2"/>
  <c r="H10" i="2"/>
  <c r="I10" i="2"/>
  <c r="J10" i="2"/>
  <c r="K10" i="2"/>
  <c r="C10" i="2"/>
  <c r="C6" i="2"/>
  <c r="D6" i="2"/>
  <c r="E6" i="2"/>
  <c r="F6" i="2"/>
  <c r="G6" i="2"/>
  <c r="H6" i="2"/>
  <c r="I6" i="2"/>
  <c r="J6" i="2"/>
  <c r="K6" i="2"/>
  <c r="B6" i="2"/>
  <c r="D5" i="2"/>
  <c r="E5" i="2"/>
  <c r="F5" i="2"/>
  <c r="G5" i="2"/>
  <c r="H5" i="2"/>
  <c r="I5" i="2"/>
  <c r="J5" i="2"/>
  <c r="K5" i="2"/>
  <c r="C5" i="2"/>
  <c r="C30" i="1"/>
  <c r="D30" i="1"/>
  <c r="E30" i="1"/>
  <c r="F30" i="1"/>
  <c r="G30" i="1"/>
  <c r="H30" i="1"/>
  <c r="I30" i="1"/>
  <c r="J30" i="1"/>
  <c r="K30" i="1"/>
  <c r="B30" i="1"/>
  <c r="C25" i="1"/>
  <c r="D25" i="1"/>
  <c r="E25" i="1"/>
  <c r="F25" i="1"/>
  <c r="G25" i="1"/>
  <c r="H25" i="1"/>
  <c r="I25" i="1"/>
  <c r="J25" i="1"/>
  <c r="K25" i="1"/>
  <c r="B25" i="1"/>
  <c r="C20" i="1"/>
  <c r="D20" i="1"/>
  <c r="E20" i="1"/>
  <c r="F20" i="1"/>
  <c r="G20" i="1"/>
  <c r="H20" i="1"/>
  <c r="I20" i="1"/>
  <c r="J20" i="1"/>
  <c r="K20" i="1"/>
  <c r="B20" i="1"/>
  <c r="C15" i="1"/>
  <c r="D15" i="1"/>
  <c r="E15" i="1"/>
  <c r="F15" i="1"/>
  <c r="G15" i="1"/>
  <c r="H15" i="1"/>
  <c r="I15" i="1"/>
  <c r="B15" i="1"/>
  <c r="C10" i="1"/>
  <c r="D10" i="1"/>
  <c r="E10" i="1"/>
  <c r="F10" i="1"/>
  <c r="G10" i="1"/>
  <c r="H10" i="1"/>
  <c r="I10" i="1"/>
  <c r="J10" i="1"/>
  <c r="K10" i="1"/>
  <c r="B10" i="1"/>
  <c r="C5" i="1"/>
  <c r="D5" i="1"/>
  <c r="E5" i="1"/>
  <c r="F5" i="1"/>
  <c r="G5" i="1"/>
  <c r="H5" i="1"/>
  <c r="I5" i="1"/>
  <c r="J5" i="1"/>
  <c r="K5" i="1"/>
  <c r="B5" i="1"/>
</calcChain>
</file>

<file path=xl/sharedStrings.xml><?xml version="1.0" encoding="utf-8"?>
<sst xmlns="http://schemas.openxmlformats.org/spreadsheetml/2006/main" count="242" uniqueCount="241">
  <si>
    <t>year</t>
  </si>
  <si>
    <t>yearly total enrollment</t>
  </si>
  <si>
    <t>yearly enrollment growth rate</t>
  </si>
  <si>
    <t>yearly total completion</t>
  </si>
  <si>
    <t>yearly completion rate</t>
  </si>
  <si>
    <t>yearly enrollment in te pūkenga subsidiaries</t>
  </si>
  <si>
    <t>yearly enrollment share in te pūkenga subsidiaries</t>
  </si>
  <si>
    <t>yearly enrollment growth rate in te pūkenga subsidiaries</t>
  </si>
  <si>
    <t>yearly completion in te pūkenga subsidiaries</t>
  </si>
  <si>
    <t xml:space="preserve">yearly completion rate in te pūkenga subsidiaries </t>
  </si>
  <si>
    <t>yearly enrollment in non-transferred industry training organisations</t>
  </si>
  <si>
    <t>yearly enrollment share in non-transferred industry training organisations</t>
  </si>
  <si>
    <t>yearly enrollment growth rate in non-transferred industry training organisations</t>
  </si>
  <si>
    <t>yearly completion in non-transferred industry training organisations</t>
  </si>
  <si>
    <t>yearly completion rate in non-transferred industry training organisations</t>
  </si>
  <si>
    <t>yearly enrollment growth rate in wānanga</t>
  </si>
  <si>
    <t>yearly completion in wānanga</t>
  </si>
  <si>
    <t>yearly completion rate in wānanga</t>
  </si>
  <si>
    <t>yearly enrollment growth rate in universities</t>
  </si>
  <si>
    <t>yearly completion in universities</t>
  </si>
  <si>
    <t>yearly completion rate in universities</t>
  </si>
  <si>
    <t>yearly enrollment growth rate in private training establishments</t>
  </si>
  <si>
    <t>yearly completion in private training establishments</t>
  </si>
  <si>
    <t>yearly completion rate in private training establishments</t>
  </si>
  <si>
    <t>yearly enrollment in wānanga</t>
  </si>
  <si>
    <t>yearly enrollment share in wānanga</t>
  </si>
  <si>
    <t>yearly enrollment in universities</t>
  </si>
  <si>
    <t>yearly enrollment share in universities</t>
  </si>
  <si>
    <t>yearly enrollment in private training establishments</t>
  </si>
  <si>
    <t>yearly enrollment share in private training establishments</t>
  </si>
  <si>
    <t>European Enrollment</t>
  </si>
  <si>
    <t xml:space="preserve">European Enrollment share </t>
  </si>
  <si>
    <t>European completion</t>
  </si>
  <si>
    <t>European Enrollment Growth Rate</t>
  </si>
  <si>
    <t>European Completion Rate</t>
  </si>
  <si>
    <t>Māori Enrollment</t>
  </si>
  <si>
    <t>Māori completion</t>
  </si>
  <si>
    <t xml:space="preserve">Māori Enrollment share </t>
  </si>
  <si>
    <t>Māori Enrollment Growth Rate</t>
  </si>
  <si>
    <t>Māori Completion Rate</t>
  </si>
  <si>
    <t>Pacific Peoples Enrollment</t>
  </si>
  <si>
    <t>Pacific Peoples completion</t>
  </si>
  <si>
    <t xml:space="preserve">Pacific Peoples Enrollment share </t>
  </si>
  <si>
    <t>Pacific Peoplesi Enrollment Growth Rate</t>
  </si>
  <si>
    <t>Pacific Peoples Completion Rate</t>
  </si>
  <si>
    <t>Asian Enrollment</t>
  </si>
  <si>
    <t>Asian completion</t>
  </si>
  <si>
    <t xml:space="preserve">Asian Enrollment share </t>
  </si>
  <si>
    <t>Asian Enrollment Growth Rate</t>
  </si>
  <si>
    <t>Asian Completion Rate</t>
  </si>
  <si>
    <t>Other Enrollment</t>
  </si>
  <si>
    <t>Other completion</t>
  </si>
  <si>
    <t xml:space="preserve">Other Enrollment share </t>
  </si>
  <si>
    <t>Other Enrollment Growth Rate</t>
  </si>
  <si>
    <t>Other Completion Rate</t>
  </si>
  <si>
    <t>Female enrollment</t>
  </si>
  <si>
    <t>female completion</t>
  </si>
  <si>
    <t>female enrollment share</t>
  </si>
  <si>
    <t>female Enrollment Growth Rate</t>
  </si>
  <si>
    <t>female Completion Rate</t>
  </si>
  <si>
    <t>Male enrollment</t>
  </si>
  <si>
    <t>Male completion</t>
  </si>
  <si>
    <t>Male enrollment share</t>
  </si>
  <si>
    <t>Male Enrollment Growth Rate</t>
  </si>
  <si>
    <t>Male Completion Rate</t>
  </si>
  <si>
    <t>Under 18 years enrollment</t>
  </si>
  <si>
    <t>Under 18 years completion</t>
  </si>
  <si>
    <t>Under 18 years enrollment share</t>
  </si>
  <si>
    <t>Under 18 years Enrollment Growth Rate</t>
  </si>
  <si>
    <t>Under 18 years Completion Rate</t>
  </si>
  <si>
    <t>18-19 years enrollment</t>
  </si>
  <si>
    <t>18-19 years completion</t>
  </si>
  <si>
    <t>18-19 years enrollment share</t>
  </si>
  <si>
    <t>18-19 years Enrollment Growth Rate</t>
  </si>
  <si>
    <t>18-19 years Completion Rate</t>
  </si>
  <si>
    <t>20-24 years enrollment</t>
  </si>
  <si>
    <t>20-24 years completion</t>
  </si>
  <si>
    <t>20-24 years enrollment share</t>
  </si>
  <si>
    <t>20-24 years Enrollment Growth Rate</t>
  </si>
  <si>
    <t>20-24 years Completion Rate</t>
  </si>
  <si>
    <t>25-39 years enrollment</t>
  </si>
  <si>
    <t>25-39 years completion</t>
  </si>
  <si>
    <t>25-39 years enrollment share</t>
  </si>
  <si>
    <t>25-39 years Enrollment Growth Rate</t>
  </si>
  <si>
    <t>25-39 years Completion Rate</t>
  </si>
  <si>
    <t>40 years &amp; over enrollment</t>
  </si>
  <si>
    <t>40 years &amp; over completion</t>
  </si>
  <si>
    <t>40 years &amp; over enrollment share</t>
  </si>
  <si>
    <t>40 years &amp; over Enrollment Growth Rate</t>
  </si>
  <si>
    <t>40 years &amp; over Completion Rate</t>
  </si>
  <si>
    <t>Level 1 certificates (industry training only) enrollment</t>
  </si>
  <si>
    <t>Level 1 certificates (industry training only) completion</t>
  </si>
  <si>
    <t>Level 1 certificates (industry training only) enrollment share</t>
  </si>
  <si>
    <t>Level 1 certificates (industry training only) Enrollment Growth Rate</t>
  </si>
  <si>
    <t>Level 1 certificates (industry training only) Completion Rate</t>
  </si>
  <si>
    <t>Level 2 certificates (industry training only) enrollment</t>
  </si>
  <si>
    <t>Level 2 certificates (industry training only) completion</t>
  </si>
  <si>
    <t>Level 2 certificates (industry training only) enrollment share</t>
  </si>
  <si>
    <t>Level 2 certificates (industry training only) Enrollment Growth Rate</t>
  </si>
  <si>
    <t>Level 2 certificates (industry training only) Completion Rate</t>
  </si>
  <si>
    <t>Level 3 certificates enrollment</t>
  </si>
  <si>
    <t>Level 3 certificates completion</t>
  </si>
  <si>
    <t>Level 3 certificates enrollment share</t>
  </si>
  <si>
    <t>Level 3 certificates Enrollment Growth Rate</t>
  </si>
  <si>
    <t>Level 3 certificates Completion Rate</t>
  </si>
  <si>
    <t>Level 4 certificates enrollment</t>
  </si>
  <si>
    <t>Level 4 certificates completion</t>
  </si>
  <si>
    <t>Level 4 certificates enrollment share</t>
  </si>
  <si>
    <t>Level 4 certificates Enrollment Growth Rate</t>
  </si>
  <si>
    <t>Level 4 certificates Completion Rate</t>
  </si>
  <si>
    <t>Level 5 certificate / diplomas enrollment</t>
  </si>
  <si>
    <t>Level 5 certificate / diplomas completion</t>
  </si>
  <si>
    <t>Level 5 certificate / diplomas enrollment share</t>
  </si>
  <si>
    <t>Level 5 certificate / diplomas Enrollment Growth Rate</t>
  </si>
  <si>
    <t>Level 5 certificate / diplomas Completion Rate</t>
  </si>
  <si>
    <t>Level 6 certificate / diplomas enrollment</t>
  </si>
  <si>
    <t>Level 6 certificate / diplomas completion</t>
  </si>
  <si>
    <t>Level 6 certificate / diplomas enrollment share</t>
  </si>
  <si>
    <t>Level 6 certificate / diplomas Enrollment Growth Rate</t>
  </si>
  <si>
    <t>Level 6 certificate / diplomas Completion Rate</t>
  </si>
  <si>
    <t>Level 7 diplomas enrollment</t>
  </si>
  <si>
    <t>Level 7 diplomas completion</t>
  </si>
  <si>
    <t>Level 7 diplomas enrollment share</t>
  </si>
  <si>
    <t>Level 7 diplomas Enrollment Growth Rate</t>
  </si>
  <si>
    <t>Level 7 diplomas Completion Rate</t>
  </si>
  <si>
    <t>Natural and Physical Sciences enrollment</t>
  </si>
  <si>
    <t>Natural and Physical Sciences enrollment share</t>
  </si>
  <si>
    <t>Natural and Physical Sciences Enrollment Growth Rate</t>
  </si>
  <si>
    <t>Information Technology enrollment</t>
  </si>
  <si>
    <t>Information Technology enrollment share</t>
  </si>
  <si>
    <t>Information Technology Enrollment Growth Rate</t>
  </si>
  <si>
    <t>Engineering and Related Technologies enrollment</t>
  </si>
  <si>
    <t>Engineering and Related Technologies enrollment share</t>
  </si>
  <si>
    <t>Engineering and Related Technologies Enrollment Growth Rate</t>
  </si>
  <si>
    <t>Architecture and Building enrollment</t>
  </si>
  <si>
    <t>Architecture and Building enrollment share</t>
  </si>
  <si>
    <t>Architecture and Building Enrollment Growth Rate</t>
  </si>
  <si>
    <t>Agriculture, Environmental and Related Studies enrollment</t>
  </si>
  <si>
    <t>Agriculture, Environmental and Related Studies enrollment share</t>
  </si>
  <si>
    <t>Agriculture, Environmental and Related Studies Enrollment Growth Rate</t>
  </si>
  <si>
    <t>Health enrollment</t>
  </si>
  <si>
    <t>Health enrollment share</t>
  </si>
  <si>
    <t>Health Enrollment Growth Rate</t>
  </si>
  <si>
    <t>Education enrollment</t>
  </si>
  <si>
    <t>Education enrollment share</t>
  </si>
  <si>
    <t>Education Enrollment Growth Rate</t>
  </si>
  <si>
    <t>Management and Commerce enrollment</t>
  </si>
  <si>
    <t>Management and Commerce enrollment share</t>
  </si>
  <si>
    <t>Management and Commerce Enrollment Growth Rate</t>
  </si>
  <si>
    <t>Society and Culture enrollment</t>
  </si>
  <si>
    <t>Society and Culture enrollment share</t>
  </si>
  <si>
    <t>Society and Culture Enrollment Growth Rate</t>
  </si>
  <si>
    <t>Creative Arts enrollment</t>
  </si>
  <si>
    <t>Creative Arts enrollment share</t>
  </si>
  <si>
    <t>Creative Arts Enrollment Growth Rate</t>
  </si>
  <si>
    <t>Food, Hospitality and Personal Services enrollment</t>
  </si>
  <si>
    <t>Food, Hospitality and Personal Services enrollment share</t>
  </si>
  <si>
    <t>Food, Hospitality and Personal Services Enrollment Growth Rate</t>
  </si>
  <si>
    <t>Mixed Field Programmes enrollment</t>
  </si>
  <si>
    <t>Mixed Field Programmes enrollment share</t>
  </si>
  <si>
    <t>Mixed Field Programmes Enrollment Growth Rate</t>
  </si>
  <si>
    <t>Auckland Enrollment</t>
  </si>
  <si>
    <t>Auckland completion</t>
  </si>
  <si>
    <t xml:space="preserve">Auckland Enrollment share </t>
  </si>
  <si>
    <t>Auckland Enrollment Growth Rate</t>
  </si>
  <si>
    <t>Auckland Completion Rate</t>
  </si>
  <si>
    <t>Bay of Plenty  Enrollment</t>
  </si>
  <si>
    <t>Bay of Plenty  completion</t>
  </si>
  <si>
    <t xml:space="preserve">Bay of Plenty  Enrollment share </t>
  </si>
  <si>
    <t>Bay of Plenty  Enrollment Growth Rate</t>
  </si>
  <si>
    <t>Bay of Plenty  Completion Rate</t>
  </si>
  <si>
    <t>Canterbury  Enrollment</t>
  </si>
  <si>
    <t>Canterbury  completion</t>
  </si>
  <si>
    <t xml:space="preserve">Canterbury  Enrollment share </t>
  </si>
  <si>
    <t>Canterbury  Enrollment Growth Rate</t>
  </si>
  <si>
    <t>Canterbury  Completion Rate</t>
  </si>
  <si>
    <t>Gisborne Enrollment</t>
  </si>
  <si>
    <t>Gisborne completion</t>
  </si>
  <si>
    <t xml:space="preserve">Gisborne Enrollment share </t>
  </si>
  <si>
    <t>Gisborne Enrollment Growth Rate</t>
  </si>
  <si>
    <t>Gisborne Completion Rate</t>
  </si>
  <si>
    <t>Hawkes Bay Enrollment</t>
  </si>
  <si>
    <t>Hawkes Bay completion</t>
  </si>
  <si>
    <t xml:space="preserve">Hawkes Bay Enrollment share </t>
  </si>
  <si>
    <t>Hawkes Bay Enrollment Growth Rate</t>
  </si>
  <si>
    <t>Hawkes Bay Completion Rate</t>
  </si>
  <si>
    <t>Manawatū-Whanganui  Enrollment</t>
  </si>
  <si>
    <t>Manawatū-Whanganui  completion</t>
  </si>
  <si>
    <t xml:space="preserve">Manawatū-Whanganui  Enrollment share </t>
  </si>
  <si>
    <t>Manawatū-Whanganui  Enrollment Growth Rate</t>
  </si>
  <si>
    <t>Manawatū-Whanganui  Completion Rate</t>
  </si>
  <si>
    <t>Marlborough Enrollment</t>
  </si>
  <si>
    <t>Marlborough completion</t>
  </si>
  <si>
    <t xml:space="preserve">Marlborough Enrollment share </t>
  </si>
  <si>
    <t>Marlborough Enrollment Growth Rate</t>
  </si>
  <si>
    <t>Marlborough Completion Rate</t>
  </si>
  <si>
    <t>Nelson  Enrollment</t>
  </si>
  <si>
    <t>Nelson  completion</t>
  </si>
  <si>
    <t xml:space="preserve">Nelson  Enrollment share </t>
  </si>
  <si>
    <t>Nelson  Enrollment Growth Rate</t>
  </si>
  <si>
    <t>Nelson  Completion Rate</t>
  </si>
  <si>
    <t>Northland  Enrollment</t>
  </si>
  <si>
    <t>Northland  completion</t>
  </si>
  <si>
    <t xml:space="preserve">Northland  Enrollment share </t>
  </si>
  <si>
    <t>Northland  Enrollment Growth Rate</t>
  </si>
  <si>
    <t>Northland  Completion Rate</t>
  </si>
  <si>
    <t>Otago  Enrollment</t>
  </si>
  <si>
    <t>Otago  completion</t>
  </si>
  <si>
    <t xml:space="preserve">Otago  Enrollment share </t>
  </si>
  <si>
    <t>Otago  Enrollment Growth Rate</t>
  </si>
  <si>
    <t>Otago  Completion Rate</t>
  </si>
  <si>
    <t>Southland Enrollment</t>
  </si>
  <si>
    <t>Southland completion</t>
  </si>
  <si>
    <t xml:space="preserve">Southland Enrollment share </t>
  </si>
  <si>
    <t>Southland Enrollment Growth Rate</t>
  </si>
  <si>
    <t>Southland Completion Rate</t>
  </si>
  <si>
    <t>Taranaki Enrollment</t>
  </si>
  <si>
    <t>Taranaki completion</t>
  </si>
  <si>
    <t xml:space="preserve">Taranaki Enrollment share </t>
  </si>
  <si>
    <t>Taranaki Enrollment Growth Rate</t>
  </si>
  <si>
    <t>Taranaki Completion Rate</t>
  </si>
  <si>
    <t>Tasman  Enrollment</t>
  </si>
  <si>
    <t>Tasman  completion</t>
  </si>
  <si>
    <t xml:space="preserve">Tasman  Enrollment share </t>
  </si>
  <si>
    <t>Tasman  Enrollment Growth Rate</t>
  </si>
  <si>
    <t>Tasman  Completion Rate</t>
  </si>
  <si>
    <t>Waikato Enrollment</t>
  </si>
  <si>
    <t>Waikato completion</t>
  </si>
  <si>
    <t xml:space="preserve">Waikato Enrollment share </t>
  </si>
  <si>
    <t>Waikato Enrollment Growth Rate</t>
  </si>
  <si>
    <t>Waikato Completion Rate</t>
  </si>
  <si>
    <t>Wellington Enrollment</t>
  </si>
  <si>
    <t>Wellington completion</t>
  </si>
  <si>
    <t xml:space="preserve">Wellington Enrollment share </t>
  </si>
  <si>
    <t>Wellington Enrollment Growth Rate</t>
  </si>
  <si>
    <t>Wellington Completion Rate</t>
  </si>
  <si>
    <t>West Coast  Enrollment</t>
  </si>
  <si>
    <t>West Coast  completion</t>
  </si>
  <si>
    <t xml:space="preserve">West Coast  Enrollment share </t>
  </si>
  <si>
    <t>West Coast  Enrollment Growth Rate</t>
  </si>
  <si>
    <t>West Coast  Completion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</si>
</sst>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3" fontId="1" fillId="0" borderId="0" xfId="0" applyNumberFormat="1" applyFont="1"/>
    <xf numFmtId="0" fontId="0" fillId="0" borderId="0" xfId="0" applyAlignment="1">
      <alignment horizontal="center" vertical="center"/>
    </xf>
    <xf numFmtId="164" fontId="0" fillId="0" borderId="0" xfId="1" applyNumberFormat="1" applyFont="1"/>
    <xf numFmtId="10" fontId="0" fillId="0" borderId="0" xfId="1" applyNumberFormat="1" applyFont="1" applyAlignment="1">
      <alignment horizontal="center" vertical="center"/>
    </xf>
    <xf numFmtId="10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0" fillId="0" borderId="0" xfId="1" applyNumberFormat="1" applyFont="1" applyBorder="1"/>
    <xf numFmtId="10" fontId="0" fillId="0" borderId="0" xfId="1" applyNumberFormat="1" applyFont="1" applyBorder="1"/>
    <xf numFmtId="3" fontId="3" fillId="0" borderId="0" xfId="2" applyNumberFormat="1" applyAlignment="1">
      <alignment vertical="top"/>
    </xf>
    <xf numFmtId="3" fontId="3" fillId="0" borderId="0" xfId="2" applyNumberFormat="1"/>
    <xf numFmtId="3" fontId="3" fillId="0" borderId="1" xfId="2" applyNumberFormat="1" applyBorder="1" applyAlignment="1">
      <alignment vertical="top"/>
    </xf>
    <xf numFmtId="3" fontId="3" fillId="0" borderId="1" xfId="2" applyNumberFormat="1" applyBorder="1"/>
    <xf numFmtId="3" fontId="3" fillId="0" borderId="2" xfId="2" applyNumberFormat="1" applyBorder="1" applyAlignment="1">
      <alignment vertical="top"/>
    </xf>
    <xf numFmtId="3" fontId="3" fillId="0" borderId="3" xfId="2" applyNumberFormat="1" applyBorder="1" applyAlignment="1">
      <alignment vertical="top"/>
    </xf>
    <xf numFmtId="3" fontId="3" fillId="0" borderId="4" xfId="2" applyNumberFormat="1" applyBorder="1" applyAlignment="1">
      <alignment vertical="top"/>
    </xf>
    <xf numFmtId="0" fontId="0" fillId="0" borderId="0" xfId="0" applyAlignment="1">
      <alignment wrapText="1"/>
    </xf>
    <xf numFmtId="3" fontId="1" fillId="0" borderId="0" xfId="0" applyNumberFormat="1" applyFont="1" applyBorder="1"/>
    <xf numFmtId="10" fontId="0" fillId="0" borderId="0" xfId="0" applyNumberFormat="1"/>
  </cellXfs>
  <cellStyles count="3">
    <cellStyle name="Normal" xfId="0" builtinId="0"/>
    <cellStyle name="Normal 2" xfId="2" xr:uid="{09A3BD87-B137-4B2D-8A17-866A24370428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0F1164-951C-4042-87DA-B59BD3DC3477}">
  <we:reference id="wa200005281" version="1.0.0.0" store="en-US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0214-D8AA-42C8-88D9-1E57D8D606B3}">
  <dimension ref="A1:K30"/>
  <sheetViews>
    <sheetView workbookViewId="0">
      <selection activeCell="B1" sqref="B1:K1"/>
    </sheetView>
  </sheetViews>
  <sheetFormatPr defaultRowHeight="15" x14ac:dyDescent="0.25"/>
  <cols>
    <col min="1" max="1" width="82.140625" customWidth="1"/>
    <col min="3" max="3" width="10" customWidth="1"/>
  </cols>
  <sheetData>
    <row r="1" spans="1:11" x14ac:dyDescent="0.25">
      <c r="A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</row>
    <row r="2" spans="1:11" x14ac:dyDescent="0.25">
      <c r="A2" t="s">
        <v>1</v>
      </c>
      <c r="B2" s="2">
        <v>265150</v>
      </c>
      <c r="C2" s="2">
        <v>265480</v>
      </c>
      <c r="D2" s="2">
        <v>255915</v>
      </c>
      <c r="E2" s="2">
        <v>248400</v>
      </c>
      <c r="F2" s="2">
        <v>246965</v>
      </c>
      <c r="G2" s="2">
        <v>251695</v>
      </c>
      <c r="H2" s="2">
        <v>283930</v>
      </c>
      <c r="I2" s="2">
        <v>280775</v>
      </c>
      <c r="J2" s="2">
        <v>249310</v>
      </c>
      <c r="K2" s="2">
        <v>241300</v>
      </c>
    </row>
    <row r="3" spans="1:11" s="5" customFormat="1" x14ac:dyDescent="0.25">
      <c r="A3" t="s">
        <v>2</v>
      </c>
      <c r="B3" s="4"/>
      <c r="C3" s="4">
        <v>1.2445785404488026E-3</v>
      </c>
      <c r="D3" s="4">
        <v>-3.6029079403344884E-2</v>
      </c>
      <c r="E3" s="4">
        <v>-2.9365218920344646E-2</v>
      </c>
      <c r="F3" s="4">
        <v>-5.7769726247987119E-3</v>
      </c>
      <c r="G3" s="4">
        <v>1.9152511489482316E-2</v>
      </c>
      <c r="H3" s="4">
        <v>0.12807167404994141</v>
      </c>
      <c r="I3" s="4">
        <v>-1.1111893776635086E-2</v>
      </c>
      <c r="J3" s="4">
        <v>-0.11206482058587837</v>
      </c>
      <c r="K3" s="4">
        <v>-3.212867514339577E-2</v>
      </c>
    </row>
    <row r="4" spans="1:11" x14ac:dyDescent="0.25">
      <c r="A4" t="s">
        <v>3</v>
      </c>
      <c r="B4" s="2">
        <v>113495</v>
      </c>
      <c r="C4" s="6">
        <v>115855</v>
      </c>
      <c r="D4" s="6">
        <v>116380</v>
      </c>
      <c r="E4" s="6">
        <v>109110</v>
      </c>
      <c r="F4" s="6">
        <v>104325</v>
      </c>
      <c r="G4" s="6">
        <v>93785</v>
      </c>
      <c r="H4" s="6">
        <v>102445</v>
      </c>
      <c r="I4" s="6">
        <v>98170</v>
      </c>
      <c r="J4" s="6">
        <v>92720</v>
      </c>
      <c r="K4" s="6">
        <v>92185</v>
      </c>
    </row>
    <row r="5" spans="1:11" s="5" customFormat="1" x14ac:dyDescent="0.25">
      <c r="A5" t="s">
        <v>4</v>
      </c>
      <c r="B5" s="4">
        <f>B4/B2</f>
        <v>0.42804073166132378</v>
      </c>
      <c r="C5" s="4">
        <f t="shared" ref="C5:K5" si="0">C4/C2</f>
        <v>0.43639822208829293</v>
      </c>
      <c r="D5" s="4">
        <f t="shared" si="0"/>
        <v>0.4547603696539867</v>
      </c>
      <c r="E5" s="4">
        <f t="shared" si="0"/>
        <v>0.43925120772946857</v>
      </c>
      <c r="F5" s="4">
        <f t="shared" si="0"/>
        <v>0.42242827931083354</v>
      </c>
      <c r="G5" s="4">
        <f t="shared" si="0"/>
        <v>0.37261367925465344</v>
      </c>
      <c r="H5" s="4">
        <f t="shared" si="0"/>
        <v>0.36081076321628569</v>
      </c>
      <c r="I5" s="4">
        <f t="shared" si="0"/>
        <v>0.34963939097141838</v>
      </c>
      <c r="J5" s="4">
        <f t="shared" si="0"/>
        <v>0.37190646183466369</v>
      </c>
      <c r="K5" s="4">
        <f t="shared" si="0"/>
        <v>0.38203481143804391</v>
      </c>
    </row>
    <row r="6" spans="1:11" x14ac:dyDescent="0.25">
      <c r="A6" t="s">
        <v>5</v>
      </c>
      <c r="B6" s="2">
        <v>191605</v>
      </c>
      <c r="C6" s="2">
        <v>190780</v>
      </c>
      <c r="D6" s="2">
        <v>184685</v>
      </c>
      <c r="E6" s="2">
        <v>181105</v>
      </c>
      <c r="F6" s="2">
        <v>181430</v>
      </c>
      <c r="G6" s="2">
        <v>189675</v>
      </c>
      <c r="H6" s="2">
        <v>215315</v>
      </c>
      <c r="I6" s="2">
        <v>214955</v>
      </c>
      <c r="J6" s="2">
        <v>170455</v>
      </c>
      <c r="K6" s="2">
        <v>157380</v>
      </c>
    </row>
    <row r="7" spans="1:11" x14ac:dyDescent="0.25">
      <c r="A7" t="s">
        <v>6</v>
      </c>
      <c r="B7" s="7">
        <v>0.72262870073543273</v>
      </c>
      <c r="C7" s="7">
        <v>0.71862287177941842</v>
      </c>
      <c r="D7" s="7">
        <v>0.72166539671375263</v>
      </c>
      <c r="E7" s="7">
        <v>0.72908615136876009</v>
      </c>
      <c r="F7" s="7">
        <v>0.73463851152997384</v>
      </c>
      <c r="G7" s="7">
        <v>0.75359065535668168</v>
      </c>
      <c r="H7" s="7">
        <v>0.75833832282604863</v>
      </c>
      <c r="I7" s="7">
        <v>0.76557741964206216</v>
      </c>
      <c r="J7" s="7">
        <v>0.68370703140668243</v>
      </c>
      <c r="K7" s="7">
        <v>0.65221715706589312</v>
      </c>
    </row>
    <row r="8" spans="1:11" s="5" customFormat="1" x14ac:dyDescent="0.25">
      <c r="A8" t="s">
        <v>7</v>
      </c>
      <c r="B8" s="4"/>
      <c r="C8" s="4">
        <v>-4.305733148926176E-3</v>
      </c>
      <c r="D8" s="4">
        <v>-3.1947793269734771E-2</v>
      </c>
      <c r="E8" s="4">
        <v>-1.9384357148658528E-2</v>
      </c>
      <c r="F8" s="4">
        <v>1.7945390795394936E-3</v>
      </c>
      <c r="G8" s="4">
        <v>4.5444524058865676E-2</v>
      </c>
      <c r="H8" s="4">
        <v>0.13517859496507184</v>
      </c>
      <c r="I8" s="4">
        <v>-1.6719689756867844E-3</v>
      </c>
      <c r="J8" s="4">
        <v>-0.20702007396897024</v>
      </c>
      <c r="K8" s="4">
        <v>-7.6706462116101021E-2</v>
      </c>
    </row>
    <row r="9" spans="1:11" x14ac:dyDescent="0.25">
      <c r="A9" t="s">
        <v>8</v>
      </c>
      <c r="B9" s="6">
        <v>74020</v>
      </c>
      <c r="C9" s="8">
        <v>74970</v>
      </c>
      <c r="D9" s="8">
        <v>72070</v>
      </c>
      <c r="E9" s="8">
        <v>67335</v>
      </c>
      <c r="F9" s="8">
        <v>63650</v>
      </c>
      <c r="G9" s="8">
        <v>60285</v>
      </c>
      <c r="H9" s="8">
        <v>63505</v>
      </c>
      <c r="I9" s="8">
        <v>62925</v>
      </c>
      <c r="J9" s="8">
        <v>54930</v>
      </c>
      <c r="K9" s="8">
        <v>50275</v>
      </c>
    </row>
    <row r="10" spans="1:11" s="5" customFormat="1" x14ac:dyDescent="0.25">
      <c r="A10" t="s">
        <v>9</v>
      </c>
      <c r="B10" s="4">
        <f>B9/B6</f>
        <v>0.38631559719214009</v>
      </c>
      <c r="C10" s="4">
        <f t="shared" ref="C10:K10" si="1">C9/C6</f>
        <v>0.39296571967711502</v>
      </c>
      <c r="D10" s="4">
        <f t="shared" si="1"/>
        <v>0.39023201667704471</v>
      </c>
      <c r="E10" s="4">
        <f t="shared" si="1"/>
        <v>0.37180088898705171</v>
      </c>
      <c r="F10" s="4">
        <f t="shared" si="1"/>
        <v>0.35082400925976959</v>
      </c>
      <c r="G10" s="4">
        <f t="shared" si="1"/>
        <v>0.31783313562672993</v>
      </c>
      <c r="H10" s="4">
        <f t="shared" si="1"/>
        <v>0.2949399716694146</v>
      </c>
      <c r="I10" s="4">
        <f t="shared" si="1"/>
        <v>0.29273568886511131</v>
      </c>
      <c r="J10" s="4">
        <f t="shared" si="1"/>
        <v>0.32225514065295824</v>
      </c>
      <c r="K10" s="4">
        <f t="shared" si="1"/>
        <v>0.31944973948405136</v>
      </c>
    </row>
    <row r="11" spans="1:11" x14ac:dyDescent="0.25">
      <c r="A11" t="s">
        <v>10</v>
      </c>
      <c r="B11" s="6">
        <v>11155</v>
      </c>
      <c r="C11" s="2">
        <v>10385</v>
      </c>
      <c r="D11" s="2">
        <v>9535</v>
      </c>
      <c r="E11" s="2">
        <v>9410</v>
      </c>
      <c r="F11" s="2">
        <v>7205</v>
      </c>
      <c r="G11" s="2">
        <v>5560</v>
      </c>
      <c r="H11" s="2">
        <v>7080</v>
      </c>
      <c r="I11" s="2">
        <v>4145</v>
      </c>
      <c r="J11" s="2">
        <v>0</v>
      </c>
      <c r="K11" s="2">
        <v>0</v>
      </c>
    </row>
    <row r="12" spans="1:11" x14ac:dyDescent="0.25">
      <c r="A12" t="s">
        <v>11</v>
      </c>
      <c r="B12" s="7">
        <v>4.2070526117292097E-2</v>
      </c>
      <c r="C12" s="7">
        <v>3.911782431821606E-2</v>
      </c>
      <c r="D12" s="7">
        <v>3.7258464724615595E-2</v>
      </c>
      <c r="E12" s="7">
        <v>3.7882447665056364E-2</v>
      </c>
      <c r="F12" s="7">
        <v>2.9174174478164921E-2</v>
      </c>
      <c r="G12" s="7">
        <v>2.2090228252448399E-2</v>
      </c>
      <c r="H12" s="7">
        <v>2.4935723593843554E-2</v>
      </c>
      <c r="I12" s="7">
        <v>1.4762710355266672E-2</v>
      </c>
      <c r="J12" s="7">
        <v>0</v>
      </c>
      <c r="K12" s="7">
        <v>0</v>
      </c>
    </row>
    <row r="13" spans="1:11" s="5" customFormat="1" x14ac:dyDescent="0.25">
      <c r="A13" t="s">
        <v>12</v>
      </c>
      <c r="B13" s="4"/>
      <c r="C13" s="4">
        <v>-6.9027341999103542E-2</v>
      </c>
      <c r="D13" s="4">
        <v>-8.1848820414058734E-2</v>
      </c>
      <c r="E13" s="4">
        <v>-1.3109596224436287E-2</v>
      </c>
      <c r="F13" s="4">
        <v>-0.23432518597236981</v>
      </c>
      <c r="G13" s="4">
        <v>-0.22831367106176267</v>
      </c>
      <c r="H13" s="4">
        <v>0.2733812949640288</v>
      </c>
      <c r="I13" s="4">
        <v>-0.41454802259887008</v>
      </c>
      <c r="J13" s="4"/>
      <c r="K13" s="4"/>
    </row>
    <row r="14" spans="1:11" x14ac:dyDescent="0.25">
      <c r="A14" t="s">
        <v>13</v>
      </c>
      <c r="B14" s="6">
        <v>3935</v>
      </c>
      <c r="C14" s="8">
        <v>5350</v>
      </c>
      <c r="D14" s="8">
        <v>5920</v>
      </c>
      <c r="E14" s="8">
        <v>4395</v>
      </c>
      <c r="F14" s="8">
        <v>3510</v>
      </c>
      <c r="G14" s="8">
        <v>1640</v>
      </c>
      <c r="H14" s="8">
        <v>2310</v>
      </c>
      <c r="I14" s="8">
        <v>680</v>
      </c>
      <c r="J14" s="8">
        <v>0</v>
      </c>
      <c r="K14" s="8">
        <v>0</v>
      </c>
    </row>
    <row r="15" spans="1:11" s="5" customFormat="1" x14ac:dyDescent="0.25">
      <c r="A15" t="s">
        <v>14</v>
      </c>
      <c r="B15" s="4">
        <f>B14/B11</f>
        <v>0.35275661138502912</v>
      </c>
      <c r="C15" s="4">
        <f t="shared" ref="C15:I15" si="2">C14/C11</f>
        <v>0.51516610495907555</v>
      </c>
      <c r="D15" s="4">
        <f t="shared" si="2"/>
        <v>0.62087047718930255</v>
      </c>
      <c r="E15" s="4">
        <f t="shared" si="2"/>
        <v>0.46705632306057387</v>
      </c>
      <c r="F15" s="4">
        <f t="shared" si="2"/>
        <v>0.48716169326856351</v>
      </c>
      <c r="G15" s="4">
        <f t="shared" si="2"/>
        <v>0.29496402877697842</v>
      </c>
      <c r="H15" s="4">
        <f t="shared" si="2"/>
        <v>0.32627118644067798</v>
      </c>
      <c r="I15" s="4">
        <f t="shared" si="2"/>
        <v>0.16405307599517491</v>
      </c>
      <c r="J15" s="4"/>
      <c r="K15" s="4"/>
    </row>
    <row r="16" spans="1:11" x14ac:dyDescent="0.25">
      <c r="A16" t="s">
        <v>24</v>
      </c>
      <c r="B16" s="6">
        <v>25740</v>
      </c>
      <c r="C16" s="2">
        <v>29485</v>
      </c>
      <c r="D16" s="2">
        <v>28900</v>
      </c>
      <c r="E16" s="2">
        <v>27125</v>
      </c>
      <c r="F16" s="2">
        <v>26530</v>
      </c>
      <c r="G16" s="2">
        <v>22705</v>
      </c>
      <c r="H16" s="2">
        <v>24785</v>
      </c>
      <c r="I16" s="2">
        <v>22035</v>
      </c>
      <c r="J16" s="2">
        <v>22035</v>
      </c>
      <c r="K16" s="2">
        <v>21890</v>
      </c>
    </row>
    <row r="17" spans="1:11" x14ac:dyDescent="0.25">
      <c r="A17" t="s">
        <v>25</v>
      </c>
      <c r="B17" s="7">
        <v>9.7077126155006604E-2</v>
      </c>
      <c r="C17" s="7">
        <v>0.11106298026216664</v>
      </c>
      <c r="D17" s="7">
        <v>0.11292812066506457</v>
      </c>
      <c r="E17" s="7">
        <v>0.10919887278582931</v>
      </c>
      <c r="F17" s="7">
        <v>0.10742412892515134</v>
      </c>
      <c r="G17" s="7">
        <v>9.0208387135223181E-2</v>
      </c>
      <c r="H17" s="7">
        <v>8.729264255274187E-2</v>
      </c>
      <c r="I17" s="7">
        <v>7.8479209331315108E-2</v>
      </c>
      <c r="J17" s="7">
        <v>8.8383939673498862E-2</v>
      </c>
      <c r="K17" s="7">
        <v>9.0716949854952336E-2</v>
      </c>
    </row>
    <row r="18" spans="1:11" s="5" customFormat="1" x14ac:dyDescent="0.25">
      <c r="A18" t="s">
        <v>15</v>
      </c>
      <c r="B18" s="4"/>
      <c r="C18" s="4">
        <v>0.14549339549339549</v>
      </c>
      <c r="D18" s="4">
        <v>-1.9840596913684925E-2</v>
      </c>
      <c r="E18" s="4">
        <v>-6.1418685121107264E-2</v>
      </c>
      <c r="F18" s="4">
        <v>-2.1935483870967741E-2</v>
      </c>
      <c r="G18" s="4">
        <v>-0.14417640407086318</v>
      </c>
      <c r="H18" s="4">
        <v>9.1609777582030386E-2</v>
      </c>
      <c r="I18" s="4">
        <v>-0.11095420617308856</v>
      </c>
      <c r="J18" s="4">
        <v>0</v>
      </c>
      <c r="K18" s="4">
        <v>-6.5804402087587931E-3</v>
      </c>
    </row>
    <row r="19" spans="1:11" x14ac:dyDescent="0.25">
      <c r="A19" t="s">
        <v>16</v>
      </c>
      <c r="B19" s="6">
        <v>14410</v>
      </c>
      <c r="C19" s="8">
        <v>15605</v>
      </c>
      <c r="D19" s="8">
        <v>20090</v>
      </c>
      <c r="E19" s="8">
        <v>18785</v>
      </c>
      <c r="F19" s="8">
        <v>18545</v>
      </c>
      <c r="G19" s="8">
        <v>13675</v>
      </c>
      <c r="H19" s="8">
        <v>16360</v>
      </c>
      <c r="I19" s="8">
        <v>13075</v>
      </c>
      <c r="J19" s="8">
        <v>14530</v>
      </c>
      <c r="K19" s="8">
        <v>15385</v>
      </c>
    </row>
    <row r="20" spans="1:11" s="5" customFormat="1" x14ac:dyDescent="0.25">
      <c r="A20" t="s">
        <v>17</v>
      </c>
      <c r="B20" s="4">
        <f>B19/B16</f>
        <v>0.55982905982905984</v>
      </c>
      <c r="C20" s="4">
        <f t="shared" ref="C20:K20" si="3">C19/C16</f>
        <v>0.5292521621163303</v>
      </c>
      <c r="D20" s="4">
        <f t="shared" si="3"/>
        <v>0.69515570934256055</v>
      </c>
      <c r="E20" s="4">
        <f t="shared" si="3"/>
        <v>0.69253456221198162</v>
      </c>
      <c r="F20" s="4">
        <f t="shared" si="3"/>
        <v>0.69901997738409349</v>
      </c>
      <c r="G20" s="4">
        <f t="shared" si="3"/>
        <v>0.60229024443955081</v>
      </c>
      <c r="H20" s="4">
        <f t="shared" si="3"/>
        <v>0.66007665926971959</v>
      </c>
      <c r="I20" s="4">
        <f t="shared" si="3"/>
        <v>0.59337417744497389</v>
      </c>
      <c r="J20" s="4">
        <f t="shared" si="3"/>
        <v>0.65940549126389836</v>
      </c>
      <c r="K20" s="4">
        <f t="shared" si="3"/>
        <v>0.7028323435358611</v>
      </c>
    </row>
    <row r="21" spans="1:11" x14ac:dyDescent="0.25">
      <c r="A21" t="s">
        <v>26</v>
      </c>
      <c r="B21" s="6">
        <v>7920</v>
      </c>
      <c r="C21" s="2">
        <v>7855</v>
      </c>
      <c r="D21" s="2">
        <v>6490</v>
      </c>
      <c r="E21" s="2">
        <v>5835</v>
      </c>
      <c r="F21" s="2">
        <v>5885</v>
      </c>
      <c r="G21" s="2">
        <v>6005</v>
      </c>
      <c r="H21" s="2">
        <v>6320</v>
      </c>
      <c r="I21" s="2">
        <v>5935</v>
      </c>
      <c r="J21" s="2">
        <v>5850</v>
      </c>
      <c r="K21" s="2">
        <v>6530</v>
      </c>
    </row>
    <row r="22" spans="1:11" x14ac:dyDescent="0.25">
      <c r="A22" t="s">
        <v>27</v>
      </c>
      <c r="B22" s="7">
        <v>2.9869884970771261E-2</v>
      </c>
      <c r="C22" s="7">
        <v>2.9587916227211089E-2</v>
      </c>
      <c r="D22" s="7">
        <v>2.5359982806791317E-2</v>
      </c>
      <c r="E22" s="7">
        <v>2.3490338164251209E-2</v>
      </c>
      <c r="F22" s="7">
        <v>2.3829287550867533E-2</v>
      </c>
      <c r="G22" s="7">
        <v>2.3858241125171337E-2</v>
      </c>
      <c r="H22" s="7">
        <v>2.2259007501849046E-2</v>
      </c>
      <c r="I22" s="7">
        <v>2.1137921823524173E-2</v>
      </c>
      <c r="J22" s="7">
        <v>2.3464762745176688E-2</v>
      </c>
      <c r="K22" s="7">
        <v>2.7061748860339827E-2</v>
      </c>
    </row>
    <row r="23" spans="1:11" s="5" customFormat="1" x14ac:dyDescent="0.25">
      <c r="A23" t="s">
        <v>18</v>
      </c>
      <c r="B23" s="4"/>
      <c r="C23" s="4">
        <v>-8.2070707070707079E-3</v>
      </c>
      <c r="D23" s="4">
        <v>-0.17377466581795034</v>
      </c>
      <c r="E23" s="4">
        <v>-0.10092449922958398</v>
      </c>
      <c r="F23" s="4">
        <v>8.5689802913453302E-3</v>
      </c>
      <c r="G23" s="4">
        <v>2.0390824129141887E-2</v>
      </c>
      <c r="H23" s="4">
        <v>5.2456286427976687E-2</v>
      </c>
      <c r="I23" s="4">
        <v>-6.091772151898734E-2</v>
      </c>
      <c r="J23" s="4">
        <v>-1.4321819713563605E-2</v>
      </c>
      <c r="K23" s="4">
        <v>0.11623931623931624</v>
      </c>
    </row>
    <row r="24" spans="1:11" x14ac:dyDescent="0.25">
      <c r="A24" t="s">
        <v>19</v>
      </c>
      <c r="B24" s="6">
        <v>2620</v>
      </c>
      <c r="C24" s="8">
        <v>2500</v>
      </c>
      <c r="D24" s="8">
        <v>2390</v>
      </c>
      <c r="E24" s="8">
        <v>1985</v>
      </c>
      <c r="F24" s="8">
        <v>1880</v>
      </c>
      <c r="G24" s="8">
        <v>1920</v>
      </c>
      <c r="H24" s="8">
        <v>1985</v>
      </c>
      <c r="I24" s="8">
        <v>1805</v>
      </c>
      <c r="J24" s="8">
        <v>1825</v>
      </c>
      <c r="K24" s="8">
        <v>2315</v>
      </c>
    </row>
    <row r="25" spans="1:11" s="5" customFormat="1" x14ac:dyDescent="0.25">
      <c r="A25" t="s">
        <v>20</v>
      </c>
      <c r="B25" s="4">
        <f>B24/B21</f>
        <v>0.33080808080808083</v>
      </c>
      <c r="C25" s="4">
        <f t="shared" ref="C25:K25" si="4">C24/C21</f>
        <v>0.31826861871419476</v>
      </c>
      <c r="D25" s="4">
        <f t="shared" si="4"/>
        <v>0.36825885978428352</v>
      </c>
      <c r="E25" s="4">
        <f t="shared" si="4"/>
        <v>0.34018851756640961</v>
      </c>
      <c r="F25" s="4">
        <f t="shared" si="4"/>
        <v>0.31945624468988953</v>
      </c>
      <c r="G25" s="4">
        <f t="shared" si="4"/>
        <v>0.31973355537052456</v>
      </c>
      <c r="H25" s="4">
        <f t="shared" si="4"/>
        <v>0.31408227848101267</v>
      </c>
      <c r="I25" s="4">
        <f t="shared" si="4"/>
        <v>0.30412805391743891</v>
      </c>
      <c r="J25" s="4">
        <f t="shared" si="4"/>
        <v>0.31196581196581197</v>
      </c>
      <c r="K25" s="4">
        <f t="shared" si="4"/>
        <v>0.35451761102603369</v>
      </c>
    </row>
    <row r="26" spans="1:11" x14ac:dyDescent="0.25">
      <c r="A26" t="s">
        <v>28</v>
      </c>
      <c r="B26" s="6">
        <v>35475</v>
      </c>
      <c r="C26" s="2">
        <v>33490</v>
      </c>
      <c r="D26" s="2">
        <v>32025</v>
      </c>
      <c r="E26" s="2">
        <v>30000</v>
      </c>
      <c r="F26" s="2">
        <v>30795</v>
      </c>
      <c r="G26" s="2">
        <v>32505</v>
      </c>
      <c r="H26" s="2">
        <v>37845</v>
      </c>
      <c r="I26" s="2">
        <v>50695</v>
      </c>
      <c r="J26" s="2">
        <v>56865</v>
      </c>
      <c r="K26" s="2">
        <v>61725</v>
      </c>
    </row>
    <row r="27" spans="1:11" x14ac:dyDescent="0.25">
      <c r="A27" t="s">
        <v>29</v>
      </c>
      <c r="B27" s="7">
        <v>0.13379219309824628</v>
      </c>
      <c r="C27" s="7">
        <v>0.12614886243784842</v>
      </c>
      <c r="D27" s="7">
        <v>0.1251392063771174</v>
      </c>
      <c r="E27" s="7">
        <v>0.12077294685990338</v>
      </c>
      <c r="F27" s="7">
        <v>0.12469378251979026</v>
      </c>
      <c r="G27" s="7">
        <v>0.12914440096148116</v>
      </c>
      <c r="H27" s="7">
        <v>0.13328989539675273</v>
      </c>
      <c r="I27" s="7">
        <v>0.1805538242364883</v>
      </c>
      <c r="J27" s="7">
        <v>0.22808952709478159</v>
      </c>
      <c r="K27" s="7">
        <v>0.25580190634065481</v>
      </c>
    </row>
    <row r="28" spans="1:11" s="5" customFormat="1" x14ac:dyDescent="0.25">
      <c r="A28" t="s">
        <v>21</v>
      </c>
      <c r="B28" s="4"/>
      <c r="C28" s="4">
        <v>-5.5954897815362933E-2</v>
      </c>
      <c r="D28" s="4">
        <v>-4.3744401313825024E-2</v>
      </c>
      <c r="E28" s="4">
        <v>-6.323185011709602E-2</v>
      </c>
      <c r="F28" s="4">
        <v>2.6499999999999999E-2</v>
      </c>
      <c r="G28" s="4">
        <v>5.5528494885533367E-2</v>
      </c>
      <c r="H28" s="4">
        <v>0.16428241808952468</v>
      </c>
      <c r="I28" s="4">
        <v>0.33954287224203988</v>
      </c>
      <c r="J28" s="4">
        <v>0.12170825525199724</v>
      </c>
      <c r="K28" s="4">
        <v>8.546557636507518E-2</v>
      </c>
    </row>
    <row r="29" spans="1:11" x14ac:dyDescent="0.25">
      <c r="A29" t="s">
        <v>22</v>
      </c>
      <c r="B29" s="6">
        <v>18510</v>
      </c>
      <c r="C29" s="8">
        <v>17435</v>
      </c>
      <c r="D29" s="8">
        <v>15910</v>
      </c>
      <c r="E29" s="8">
        <v>16610</v>
      </c>
      <c r="F29" s="8">
        <v>16735</v>
      </c>
      <c r="G29" s="8">
        <v>16265</v>
      </c>
      <c r="H29" s="8">
        <v>18290</v>
      </c>
      <c r="I29" s="8">
        <v>19685</v>
      </c>
      <c r="J29" s="8">
        <v>21430</v>
      </c>
      <c r="K29" s="8">
        <v>24210</v>
      </c>
    </row>
    <row r="30" spans="1:11" s="5" customFormat="1" x14ac:dyDescent="0.25">
      <c r="A30" t="s">
        <v>23</v>
      </c>
      <c r="B30" s="4">
        <f>B29/B26</f>
        <v>0.52177589852008455</v>
      </c>
      <c r="C30" s="4">
        <f t="shared" ref="C30:K30" si="5">C29/C26</f>
        <v>0.52060316512391758</v>
      </c>
      <c r="D30" s="4">
        <f t="shared" si="5"/>
        <v>0.4967993754879001</v>
      </c>
      <c r="E30" s="4">
        <f t="shared" si="5"/>
        <v>0.55366666666666664</v>
      </c>
      <c r="F30" s="4">
        <f t="shared" si="5"/>
        <v>0.54343237538561451</v>
      </c>
      <c r="G30" s="4">
        <f t="shared" si="5"/>
        <v>0.50038455622211964</v>
      </c>
      <c r="H30" s="4">
        <f t="shared" si="5"/>
        <v>0.48328709208614085</v>
      </c>
      <c r="I30" s="4">
        <f t="shared" si="5"/>
        <v>0.38830259394417593</v>
      </c>
      <c r="J30" s="4">
        <f t="shared" si="5"/>
        <v>0.37685746944517717</v>
      </c>
      <c r="K30" s="4">
        <f t="shared" si="5"/>
        <v>0.39222357229647631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C80E-9888-4B60-895E-931116042348}">
  <dimension ref="A1:K26"/>
  <sheetViews>
    <sheetView workbookViewId="0">
      <selection activeCell="A2" sqref="A2:A6"/>
    </sheetView>
  </sheetViews>
  <sheetFormatPr defaultRowHeight="15" x14ac:dyDescent="0.25"/>
  <cols>
    <col min="1" max="1" width="49" customWidth="1"/>
    <col min="2" max="2" width="13.28515625" customWidth="1"/>
  </cols>
  <sheetData>
    <row r="1" spans="1:11" x14ac:dyDescent="0.2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 x14ac:dyDescent="0.25">
      <c r="A2" t="s">
        <v>30</v>
      </c>
      <c r="B2">
        <v>157795</v>
      </c>
      <c r="C2">
        <v>153905</v>
      </c>
      <c r="D2">
        <v>147340</v>
      </c>
      <c r="E2">
        <v>146220</v>
      </c>
      <c r="F2">
        <v>143990</v>
      </c>
      <c r="G2">
        <v>147220</v>
      </c>
      <c r="H2">
        <v>164280</v>
      </c>
      <c r="I2">
        <v>160700</v>
      </c>
      <c r="J2">
        <v>141885</v>
      </c>
      <c r="K2">
        <v>134865</v>
      </c>
    </row>
    <row r="3" spans="1:11" x14ac:dyDescent="0.25">
      <c r="A3" t="s">
        <v>32</v>
      </c>
      <c r="B3">
        <v>64130</v>
      </c>
      <c r="C3">
        <v>65300</v>
      </c>
      <c r="D3">
        <v>62275</v>
      </c>
      <c r="E3">
        <v>61040</v>
      </c>
      <c r="F3">
        <v>58335</v>
      </c>
      <c r="G3">
        <v>52045</v>
      </c>
      <c r="H3">
        <v>57000</v>
      </c>
      <c r="I3">
        <v>54560</v>
      </c>
      <c r="J3">
        <v>51600</v>
      </c>
      <c r="K3">
        <v>50625</v>
      </c>
    </row>
    <row r="4" spans="1:11" x14ac:dyDescent="0.25">
      <c r="A4" t="s">
        <v>31</v>
      </c>
      <c r="B4">
        <v>0.5951159720912691</v>
      </c>
      <c r="C4">
        <v>0.57972351966249813</v>
      </c>
      <c r="D4">
        <v>0.57573803802043644</v>
      </c>
      <c r="E4">
        <v>0.58864734299516908</v>
      </c>
      <c r="F4">
        <v>0.58303808231935694</v>
      </c>
      <c r="G4">
        <v>0.58491428117364275</v>
      </c>
      <c r="H4">
        <v>0.57859331525375968</v>
      </c>
      <c r="I4">
        <v>0.57234440388211205</v>
      </c>
      <c r="J4">
        <v>0.56911074565801612</v>
      </c>
      <c r="K4">
        <v>0.55891007045171981</v>
      </c>
    </row>
    <row r="5" spans="1:11" x14ac:dyDescent="0.25">
      <c r="A5" t="s">
        <v>33</v>
      </c>
      <c r="C5">
        <f t="shared" ref="C5:K5" si="0">(C2-B2)/B2</f>
        <v>-2.4652238664089485E-2</v>
      </c>
      <c r="D5">
        <f t="shared" si="0"/>
        <v>-4.2656184009616321E-2</v>
      </c>
      <c r="E5">
        <f t="shared" si="0"/>
        <v>-7.6014659970137094E-3</v>
      </c>
      <c r="F5">
        <f t="shared" si="0"/>
        <v>-1.5250991656408152E-2</v>
      </c>
      <c r="G5">
        <f t="shared" si="0"/>
        <v>2.2432113341204249E-2</v>
      </c>
      <c r="H5">
        <f t="shared" si="0"/>
        <v>0.11588099443010461</v>
      </c>
      <c r="I5">
        <f t="shared" si="0"/>
        <v>-2.1792062332602873E-2</v>
      </c>
      <c r="J5">
        <f t="shared" si="0"/>
        <v>-0.1170815183571873</v>
      </c>
      <c r="K5">
        <f t="shared" si="0"/>
        <v>-4.9476688867745006E-2</v>
      </c>
    </row>
    <row r="6" spans="1:11" s="3" customFormat="1" x14ac:dyDescent="0.25">
      <c r="A6" t="s">
        <v>34</v>
      </c>
      <c r="B6">
        <f>B3/B2</f>
        <v>0.40641338445451375</v>
      </c>
      <c r="C6">
        <f t="shared" ref="C6:K6" si="1">C3/C2</f>
        <v>0.42428770995094378</v>
      </c>
      <c r="D6">
        <f t="shared" si="1"/>
        <v>0.4226618705035971</v>
      </c>
      <c r="E6">
        <f t="shared" si="1"/>
        <v>0.41745315278347694</v>
      </c>
      <c r="F6">
        <f t="shared" si="1"/>
        <v>0.40513230085422597</v>
      </c>
      <c r="G6">
        <f t="shared" si="1"/>
        <v>0.35351854367613095</v>
      </c>
      <c r="H6">
        <f t="shared" si="1"/>
        <v>0.34696859021183346</v>
      </c>
      <c r="I6">
        <f t="shared" si="1"/>
        <v>0.33951462352209083</v>
      </c>
      <c r="J6">
        <f t="shared" si="1"/>
        <v>0.36367480706205729</v>
      </c>
      <c r="K6">
        <f t="shared" si="1"/>
        <v>0.37537537537537535</v>
      </c>
    </row>
    <row r="7" spans="1:11" x14ac:dyDescent="0.25">
      <c r="A7" t="s">
        <v>35</v>
      </c>
      <c r="B7">
        <v>63165</v>
      </c>
      <c r="C7">
        <v>64065</v>
      </c>
      <c r="D7">
        <v>62530</v>
      </c>
      <c r="E7">
        <v>60470</v>
      </c>
      <c r="F7">
        <v>59465</v>
      </c>
      <c r="G7">
        <v>57670</v>
      </c>
      <c r="H7">
        <v>64075</v>
      </c>
      <c r="I7">
        <v>62560</v>
      </c>
      <c r="J7">
        <v>58460</v>
      </c>
      <c r="K7">
        <v>58300</v>
      </c>
    </row>
    <row r="8" spans="1:11" x14ac:dyDescent="0.25">
      <c r="A8" t="s">
        <v>36</v>
      </c>
      <c r="B8">
        <v>28145</v>
      </c>
      <c r="C8">
        <v>28540</v>
      </c>
      <c r="D8">
        <v>31545</v>
      </c>
      <c r="E8">
        <v>28920</v>
      </c>
      <c r="F8">
        <v>27965</v>
      </c>
      <c r="G8">
        <v>22530</v>
      </c>
      <c r="H8">
        <v>24810</v>
      </c>
      <c r="I8">
        <v>22265</v>
      </c>
      <c r="J8">
        <v>23425</v>
      </c>
      <c r="K8">
        <v>23985</v>
      </c>
    </row>
    <row r="9" spans="1:11" x14ac:dyDescent="0.25">
      <c r="A9" t="s">
        <v>37</v>
      </c>
      <c r="B9">
        <v>0.23822364699226853</v>
      </c>
      <c r="C9">
        <v>0.24131761337953894</v>
      </c>
      <c r="D9">
        <v>0.24433894066389231</v>
      </c>
      <c r="E9">
        <v>0.2434380032206119</v>
      </c>
      <c r="F9">
        <v>0.24078310691798432</v>
      </c>
      <c r="G9">
        <v>0.22912652217962215</v>
      </c>
      <c r="H9">
        <v>0.22567182051914203</v>
      </c>
      <c r="I9">
        <v>0.22281186003027334</v>
      </c>
      <c r="J9">
        <v>0.23448718462957763</v>
      </c>
      <c r="K9">
        <v>0.24160795690012432</v>
      </c>
    </row>
    <row r="10" spans="1:11" x14ac:dyDescent="0.25">
      <c r="A10" t="s">
        <v>38</v>
      </c>
      <c r="C10">
        <f>(C7-B7)/B7</f>
        <v>1.4248397055331275E-2</v>
      </c>
      <c r="D10">
        <f t="shared" ref="D10:K10" si="2">(D7-C7)/C7</f>
        <v>-2.3960040583782097E-2</v>
      </c>
      <c r="E10">
        <f t="shared" si="2"/>
        <v>-3.2944186790340634E-2</v>
      </c>
      <c r="F10">
        <f t="shared" si="2"/>
        <v>-1.6619811476765337E-2</v>
      </c>
      <c r="G10">
        <f t="shared" si="2"/>
        <v>-3.0185823593710585E-2</v>
      </c>
      <c r="H10">
        <f t="shared" si="2"/>
        <v>0.11106294433847755</v>
      </c>
      <c r="I10">
        <f t="shared" si="2"/>
        <v>-2.3644166991806478E-2</v>
      </c>
      <c r="J10">
        <f t="shared" si="2"/>
        <v>-6.5537084398976986E-2</v>
      </c>
      <c r="K10">
        <f t="shared" si="2"/>
        <v>-2.7369141293191925E-3</v>
      </c>
    </row>
    <row r="11" spans="1:11" x14ac:dyDescent="0.25">
      <c r="A11" t="s">
        <v>39</v>
      </c>
      <c r="B11">
        <f>B8/B7</f>
        <v>0.44557903902477636</v>
      </c>
      <c r="C11">
        <f t="shared" ref="C11:K11" si="3">C8/C7</f>
        <v>0.44548505424178569</v>
      </c>
      <c r="D11">
        <f t="shared" si="3"/>
        <v>0.50447785063169681</v>
      </c>
      <c r="E11">
        <f t="shared" si="3"/>
        <v>0.47825367951050107</v>
      </c>
      <c r="F11">
        <f t="shared" si="3"/>
        <v>0.47027663331371394</v>
      </c>
      <c r="G11">
        <f t="shared" si="3"/>
        <v>0.39067105947633085</v>
      </c>
      <c r="H11">
        <f t="shared" si="3"/>
        <v>0.38720249707374171</v>
      </c>
      <c r="I11">
        <f t="shared" si="3"/>
        <v>0.35589833759590794</v>
      </c>
      <c r="J11">
        <f t="shared" si="3"/>
        <v>0.40070133424563803</v>
      </c>
      <c r="K11">
        <f t="shared" si="3"/>
        <v>0.4114065180102916</v>
      </c>
    </row>
    <row r="12" spans="1:11" x14ac:dyDescent="0.25">
      <c r="A12" t="s">
        <v>40</v>
      </c>
      <c r="B12">
        <v>27060</v>
      </c>
      <c r="C12">
        <v>27190</v>
      </c>
      <c r="D12">
        <v>25870</v>
      </c>
      <c r="E12">
        <v>23930</v>
      </c>
      <c r="F12">
        <v>24725</v>
      </c>
      <c r="G12">
        <v>24885</v>
      </c>
      <c r="H12">
        <v>27595</v>
      </c>
      <c r="I12">
        <v>27570</v>
      </c>
      <c r="J12">
        <v>25170</v>
      </c>
      <c r="K12">
        <v>25725</v>
      </c>
    </row>
    <row r="13" spans="1:11" x14ac:dyDescent="0.25">
      <c r="A13" t="s">
        <v>41</v>
      </c>
      <c r="B13">
        <v>12500</v>
      </c>
      <c r="C13">
        <v>12465</v>
      </c>
      <c r="D13">
        <v>11880</v>
      </c>
      <c r="E13">
        <v>10805</v>
      </c>
      <c r="F13">
        <v>10395</v>
      </c>
      <c r="G13">
        <v>9745</v>
      </c>
      <c r="H13">
        <v>9740</v>
      </c>
      <c r="I13">
        <v>9490</v>
      </c>
      <c r="J13">
        <v>8795</v>
      </c>
      <c r="K13">
        <v>9375</v>
      </c>
    </row>
    <row r="14" spans="1:11" x14ac:dyDescent="0.25">
      <c r="A14" t="s">
        <v>42</v>
      </c>
      <c r="B14">
        <v>0.1020554403168018</v>
      </c>
      <c r="C14">
        <v>0.10241826126261866</v>
      </c>
      <c r="D14">
        <v>0.10108825195865814</v>
      </c>
      <c r="E14">
        <v>9.6336553945249592E-2</v>
      </c>
      <c r="F14">
        <v>0.10011540096774847</v>
      </c>
      <c r="G14">
        <v>9.8869663680247924E-2</v>
      </c>
      <c r="H14">
        <v>9.7189448103405768E-2</v>
      </c>
      <c r="I14">
        <v>9.8192502893776151E-2</v>
      </c>
      <c r="J14">
        <v>0.10095864586258073</v>
      </c>
      <c r="K14">
        <v>0.1066100290095317</v>
      </c>
    </row>
    <row r="15" spans="1:11" x14ac:dyDescent="0.25">
      <c r="A15" t="s">
        <v>43</v>
      </c>
      <c r="C15">
        <f>(C12-B12)/B12</f>
        <v>4.8041389504804143E-3</v>
      </c>
      <c r="D15">
        <f t="shared" ref="D15:K15" si="4">(D12-C12)/C12</f>
        <v>-4.8547260022066933E-2</v>
      </c>
      <c r="E15">
        <f t="shared" si="4"/>
        <v>-7.4990336296868965E-2</v>
      </c>
      <c r="F15">
        <f t="shared" si="4"/>
        <v>3.3221897200167154E-2</v>
      </c>
      <c r="G15">
        <f t="shared" si="4"/>
        <v>6.4711830131445906E-3</v>
      </c>
      <c r="H15">
        <f t="shared" si="4"/>
        <v>0.10890094434398231</v>
      </c>
      <c r="I15">
        <f t="shared" si="4"/>
        <v>-9.05961224859576E-4</v>
      </c>
      <c r="J15">
        <f t="shared" si="4"/>
        <v>-8.7051142546245922E-2</v>
      </c>
      <c r="K15">
        <f t="shared" si="4"/>
        <v>2.2050059594755662E-2</v>
      </c>
    </row>
    <row r="16" spans="1:11" x14ac:dyDescent="0.25">
      <c r="A16" t="s">
        <v>44</v>
      </c>
      <c r="B16">
        <f>B13/B12</f>
        <v>0.46193643754619362</v>
      </c>
      <c r="C16">
        <f t="shared" ref="C16:K16" si="5">C13/C12</f>
        <v>0.45844060316292756</v>
      </c>
      <c r="D16">
        <f t="shared" si="5"/>
        <v>0.45921917278701196</v>
      </c>
      <c r="E16">
        <f t="shared" si="5"/>
        <v>0.45152528207271209</v>
      </c>
      <c r="F16">
        <f t="shared" si="5"/>
        <v>0.42042467138523759</v>
      </c>
      <c r="G16">
        <f t="shared" si="5"/>
        <v>0.3916013662849106</v>
      </c>
      <c r="H16">
        <f t="shared" si="5"/>
        <v>0.35296249320529083</v>
      </c>
      <c r="I16">
        <f t="shared" si="5"/>
        <v>0.34421472615161408</v>
      </c>
      <c r="J16">
        <f t="shared" si="5"/>
        <v>0.34942391736193884</v>
      </c>
      <c r="K16">
        <f t="shared" si="5"/>
        <v>0.36443148688046645</v>
      </c>
    </row>
    <row r="17" spans="1:11" x14ac:dyDescent="0.25">
      <c r="A17" t="s">
        <v>45</v>
      </c>
      <c r="B17">
        <v>26295</v>
      </c>
      <c r="C17">
        <v>27485</v>
      </c>
      <c r="D17">
        <v>28665</v>
      </c>
      <c r="E17">
        <v>28420</v>
      </c>
      <c r="F17">
        <v>29570</v>
      </c>
      <c r="G17">
        <v>32240</v>
      </c>
      <c r="H17">
        <v>39835</v>
      </c>
      <c r="I17">
        <v>41550</v>
      </c>
      <c r="J17">
        <v>37595</v>
      </c>
      <c r="K17">
        <v>38930</v>
      </c>
    </row>
    <row r="18" spans="1:11" x14ac:dyDescent="0.25">
      <c r="A18" t="s">
        <v>46</v>
      </c>
      <c r="B18">
        <v>13040</v>
      </c>
      <c r="C18">
        <v>13540</v>
      </c>
      <c r="D18">
        <v>13935</v>
      </c>
      <c r="E18">
        <v>13630</v>
      </c>
      <c r="F18">
        <v>13475</v>
      </c>
      <c r="G18">
        <v>13640</v>
      </c>
      <c r="H18">
        <v>16335</v>
      </c>
      <c r="I18">
        <v>16510</v>
      </c>
      <c r="J18">
        <v>14850</v>
      </c>
      <c r="K18">
        <v>15530</v>
      </c>
    </row>
    <row r="19" spans="1:11" x14ac:dyDescent="0.25">
      <c r="A19" t="s">
        <v>47</v>
      </c>
      <c r="B19">
        <v>9.9170280973034125E-2</v>
      </c>
      <c r="C19">
        <v>0.10352945607955402</v>
      </c>
      <c r="D19">
        <v>0.1120098470195182</v>
      </c>
      <c r="E19">
        <v>0.1144122383252818</v>
      </c>
      <c r="F19">
        <v>0.11973356548498774</v>
      </c>
      <c r="G19">
        <v>0.12809153936311807</v>
      </c>
      <c r="H19">
        <v>0.14029866516394887</v>
      </c>
      <c r="I19">
        <v>0.14798326061793252</v>
      </c>
      <c r="J19">
        <v>0.15079619750511411</v>
      </c>
      <c r="K19">
        <v>0.1613344384583506</v>
      </c>
    </row>
    <row r="20" spans="1:11" x14ac:dyDescent="0.25">
      <c r="A20" t="s">
        <v>48</v>
      </c>
      <c r="C20">
        <f>(C17-B17)/B17</f>
        <v>4.5255752044114854E-2</v>
      </c>
      <c r="D20">
        <f t="shared" ref="D20:K20" si="6">(D17-C17)/C17</f>
        <v>4.293250864107695E-2</v>
      </c>
      <c r="E20">
        <f t="shared" si="6"/>
        <v>-8.5470085470085479E-3</v>
      </c>
      <c r="F20">
        <f t="shared" si="6"/>
        <v>4.0464461646727658E-2</v>
      </c>
      <c r="G20">
        <f t="shared" si="6"/>
        <v>9.0294217111937775E-2</v>
      </c>
      <c r="H20">
        <f t="shared" si="6"/>
        <v>0.23557692307692307</v>
      </c>
      <c r="I20">
        <f t="shared" si="6"/>
        <v>4.3052591941759762E-2</v>
      </c>
      <c r="J20">
        <f t="shared" si="6"/>
        <v>-9.5186522262334539E-2</v>
      </c>
      <c r="K20">
        <f t="shared" si="6"/>
        <v>3.5510041228886818E-2</v>
      </c>
    </row>
    <row r="21" spans="1:11" x14ac:dyDescent="0.25">
      <c r="A21" t="s">
        <v>49</v>
      </c>
      <c r="B21">
        <f>B18/B17</f>
        <v>0.49591177029853584</v>
      </c>
      <c r="C21">
        <f t="shared" ref="C21:K21" si="7">C18/C17</f>
        <v>0.49263234491540842</v>
      </c>
      <c r="D21">
        <f t="shared" si="7"/>
        <v>0.48613291470434328</v>
      </c>
      <c r="E21">
        <f t="shared" si="7"/>
        <v>0.47959183673469385</v>
      </c>
      <c r="F21">
        <f t="shared" si="7"/>
        <v>0.45569834291511668</v>
      </c>
      <c r="G21">
        <f t="shared" si="7"/>
        <v>0.42307692307692307</v>
      </c>
      <c r="H21">
        <f t="shared" si="7"/>
        <v>0.41006652441320446</v>
      </c>
      <c r="I21">
        <f t="shared" si="7"/>
        <v>0.39735258724428402</v>
      </c>
      <c r="J21">
        <f t="shared" si="7"/>
        <v>0.39499933501795453</v>
      </c>
      <c r="K21">
        <f t="shared" si="7"/>
        <v>0.39892114050860517</v>
      </c>
    </row>
    <row r="22" spans="1:11" x14ac:dyDescent="0.25">
      <c r="A22" t="s">
        <v>50</v>
      </c>
      <c r="B22">
        <v>10540</v>
      </c>
      <c r="C22">
        <v>10460</v>
      </c>
      <c r="D22">
        <v>10520</v>
      </c>
      <c r="E22">
        <v>10765</v>
      </c>
      <c r="F22">
        <v>11365</v>
      </c>
      <c r="G22">
        <v>12285</v>
      </c>
      <c r="H22">
        <v>14355</v>
      </c>
      <c r="I22">
        <v>14360</v>
      </c>
      <c r="J22">
        <v>13015</v>
      </c>
      <c r="K22">
        <v>13215</v>
      </c>
    </row>
    <row r="23" spans="1:11" x14ac:dyDescent="0.25">
      <c r="A23" t="s">
        <v>51</v>
      </c>
      <c r="B23">
        <v>4940</v>
      </c>
      <c r="C23">
        <v>4850</v>
      </c>
      <c r="D23">
        <v>4795</v>
      </c>
      <c r="E23">
        <v>4865</v>
      </c>
      <c r="F23">
        <v>4965</v>
      </c>
      <c r="G23">
        <v>4875</v>
      </c>
      <c r="H23">
        <v>5355</v>
      </c>
      <c r="I23">
        <v>5210</v>
      </c>
      <c r="J23">
        <v>4990</v>
      </c>
      <c r="K23">
        <v>5220</v>
      </c>
    </row>
    <row r="24" spans="1:11" x14ac:dyDescent="0.25">
      <c r="A24" t="s">
        <v>52</v>
      </c>
      <c r="B24">
        <v>3.9751084291910238E-2</v>
      </c>
      <c r="C24">
        <v>3.9400331475064033E-2</v>
      </c>
      <c r="D24">
        <v>4.1107398941054647E-2</v>
      </c>
      <c r="E24">
        <v>4.333735909822866E-2</v>
      </c>
      <c r="F24">
        <v>4.6018666612677908E-2</v>
      </c>
      <c r="G24">
        <v>4.8809074475059097E-2</v>
      </c>
      <c r="H24">
        <v>5.0558236184975167E-2</v>
      </c>
      <c r="I24">
        <v>5.1144154572166325E-2</v>
      </c>
      <c r="J24">
        <v>5.2204083269824716E-2</v>
      </c>
      <c r="K24">
        <v>5.4765851636966435E-2</v>
      </c>
    </row>
    <row r="25" spans="1:11" x14ac:dyDescent="0.25">
      <c r="A25" t="s">
        <v>53</v>
      </c>
      <c r="C25">
        <f>(C22-B22)/B22</f>
        <v>-7.5901328273244783E-3</v>
      </c>
      <c r="D25">
        <f t="shared" ref="D25:K25" si="8">(D22-C22)/C22</f>
        <v>5.7361376673040155E-3</v>
      </c>
      <c r="E25">
        <f t="shared" si="8"/>
        <v>2.328897338403042E-2</v>
      </c>
      <c r="F25">
        <f t="shared" si="8"/>
        <v>5.5736182071528098E-2</v>
      </c>
      <c r="G25">
        <f t="shared" si="8"/>
        <v>8.0950285965684113E-2</v>
      </c>
      <c r="H25">
        <f t="shared" si="8"/>
        <v>0.16849816849816851</v>
      </c>
      <c r="I25">
        <f t="shared" si="8"/>
        <v>3.4831069313827936E-4</v>
      </c>
      <c r="J25">
        <f t="shared" si="8"/>
        <v>-9.3662952646239556E-2</v>
      </c>
      <c r="K25">
        <f t="shared" si="8"/>
        <v>1.5366884364195159E-2</v>
      </c>
    </row>
    <row r="26" spans="1:11" x14ac:dyDescent="0.25">
      <c r="A26" t="s">
        <v>54</v>
      </c>
      <c r="B26">
        <f>B23/B22</f>
        <v>0.46869070208728653</v>
      </c>
      <c r="C26">
        <f t="shared" ref="C26:K26" si="9">C23/C22</f>
        <v>0.46367112810707456</v>
      </c>
      <c r="D26">
        <f t="shared" si="9"/>
        <v>0.45579847908745247</v>
      </c>
      <c r="E26">
        <f t="shared" si="9"/>
        <v>0.45192754296330701</v>
      </c>
      <c r="F26">
        <f t="shared" si="9"/>
        <v>0.43686757589089309</v>
      </c>
      <c r="G26">
        <f t="shared" si="9"/>
        <v>0.3968253968253968</v>
      </c>
      <c r="H26">
        <f t="shared" si="9"/>
        <v>0.37304075235109718</v>
      </c>
      <c r="I26">
        <f t="shared" si="9"/>
        <v>0.36281337047353762</v>
      </c>
      <c r="J26">
        <f t="shared" si="9"/>
        <v>0.38340376488666922</v>
      </c>
      <c r="K26">
        <f t="shared" si="9"/>
        <v>0.39500567536889897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8146-2D58-4701-BDCD-BE249588C642}">
  <dimension ref="A1:L11"/>
  <sheetViews>
    <sheetView workbookViewId="0">
      <selection activeCell="L11" sqref="L11"/>
    </sheetView>
  </sheetViews>
  <sheetFormatPr defaultRowHeight="15" x14ac:dyDescent="0.25"/>
  <cols>
    <col min="1" max="1" width="28.85546875" customWidth="1"/>
  </cols>
  <sheetData>
    <row r="1" spans="1:12" x14ac:dyDescent="0.2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2" x14ac:dyDescent="0.25">
      <c r="A2" t="s">
        <v>55</v>
      </c>
      <c r="B2">
        <v>123440</v>
      </c>
      <c r="C2">
        <v>123355</v>
      </c>
      <c r="D2">
        <v>121945</v>
      </c>
      <c r="E2">
        <v>118875</v>
      </c>
      <c r="F2">
        <v>119210</v>
      </c>
      <c r="G2">
        <v>118855</v>
      </c>
      <c r="H2">
        <v>129890</v>
      </c>
      <c r="I2">
        <v>124760</v>
      </c>
      <c r="J2">
        <v>112950</v>
      </c>
      <c r="K2">
        <v>111135</v>
      </c>
    </row>
    <row r="3" spans="1:12" x14ac:dyDescent="0.25">
      <c r="A3" t="s">
        <v>56</v>
      </c>
      <c r="B3">
        <v>58415</v>
      </c>
      <c r="C3">
        <v>59495</v>
      </c>
      <c r="D3">
        <v>62620</v>
      </c>
      <c r="E3">
        <v>59640</v>
      </c>
      <c r="F3">
        <v>57825</v>
      </c>
      <c r="G3">
        <v>52380</v>
      </c>
      <c r="H3">
        <v>56715</v>
      </c>
      <c r="I3">
        <v>52975</v>
      </c>
      <c r="J3">
        <v>49270</v>
      </c>
      <c r="K3">
        <v>49305</v>
      </c>
    </row>
    <row r="4" spans="1:12" x14ac:dyDescent="0.25">
      <c r="A4" t="s">
        <v>57</v>
      </c>
      <c r="B4">
        <v>0.46554780313030358</v>
      </c>
      <c r="C4">
        <v>0.46464893777309024</v>
      </c>
      <c r="D4">
        <v>0.47650587109001036</v>
      </c>
      <c r="E4">
        <v>0.47856280193236717</v>
      </c>
      <c r="F4">
        <v>0.4826999777296378</v>
      </c>
      <c r="G4">
        <v>0.47221835952243785</v>
      </c>
      <c r="H4">
        <v>0.45747191209100835</v>
      </c>
      <c r="I4">
        <v>0.44434155462558989</v>
      </c>
      <c r="J4">
        <v>0.453050419156873</v>
      </c>
      <c r="K4">
        <v>0.46056775797762123</v>
      </c>
    </row>
    <row r="5" spans="1:12" x14ac:dyDescent="0.25">
      <c r="A5" t="s">
        <v>58</v>
      </c>
      <c r="C5">
        <f t="shared" ref="C5:K5" si="0">(C2-B2)/B2</f>
        <v>-6.8859364873622808E-4</v>
      </c>
      <c r="D5">
        <f t="shared" si="0"/>
        <v>-1.1430424384905354E-2</v>
      </c>
      <c r="E5">
        <f t="shared" si="0"/>
        <v>-2.5175283939480913E-2</v>
      </c>
      <c r="F5">
        <f t="shared" si="0"/>
        <v>2.818086225026288E-3</v>
      </c>
      <c r="G5">
        <f t="shared" si="0"/>
        <v>-2.9779380924419094E-3</v>
      </c>
      <c r="H5">
        <f t="shared" si="0"/>
        <v>9.2844221951116912E-2</v>
      </c>
      <c r="I5">
        <f t="shared" si="0"/>
        <v>-3.9494957271537456E-2</v>
      </c>
      <c r="J5">
        <f t="shared" si="0"/>
        <v>-9.4661750561077271E-2</v>
      </c>
      <c r="K5">
        <f t="shared" si="0"/>
        <v>-1.606905710491368E-2</v>
      </c>
    </row>
    <row r="6" spans="1:12" x14ac:dyDescent="0.25">
      <c r="A6" t="s">
        <v>59</v>
      </c>
      <c r="B6">
        <f>B3/B2</f>
        <v>0.47322585871678546</v>
      </c>
      <c r="C6">
        <f t="shared" ref="C6:K6" si="1">C3/C2</f>
        <v>0.48230716225527948</v>
      </c>
      <c r="D6">
        <f t="shared" si="1"/>
        <v>0.51351018901963996</v>
      </c>
      <c r="E6">
        <f t="shared" si="1"/>
        <v>0.5017034700315457</v>
      </c>
      <c r="F6">
        <f t="shared" si="1"/>
        <v>0.48506836674775605</v>
      </c>
      <c r="G6">
        <f t="shared" si="1"/>
        <v>0.44070506078835558</v>
      </c>
      <c r="H6">
        <f t="shared" si="1"/>
        <v>0.4366386942797752</v>
      </c>
      <c r="I6">
        <f t="shared" si="1"/>
        <v>0.42461526130169924</v>
      </c>
      <c r="J6">
        <f t="shared" si="1"/>
        <v>0.4362107127047366</v>
      </c>
      <c r="K6">
        <f t="shared" si="1"/>
        <v>0.44364961533270347</v>
      </c>
      <c r="L6">
        <f>AVERAGE(B6:K6)</f>
        <v>0.46376343911782775</v>
      </c>
    </row>
    <row r="7" spans="1:12" x14ac:dyDescent="0.25">
      <c r="A7" t="s">
        <v>60</v>
      </c>
      <c r="B7">
        <v>141040</v>
      </c>
      <c r="C7">
        <v>141475</v>
      </c>
      <c r="D7">
        <v>133605</v>
      </c>
      <c r="E7">
        <v>129215</v>
      </c>
      <c r="F7">
        <v>127440</v>
      </c>
      <c r="G7">
        <v>132360</v>
      </c>
      <c r="H7">
        <v>153265</v>
      </c>
      <c r="I7">
        <v>154820</v>
      </c>
      <c r="J7">
        <v>135320</v>
      </c>
      <c r="K7">
        <v>129115</v>
      </c>
    </row>
    <row r="8" spans="1:12" x14ac:dyDescent="0.25">
      <c r="A8" t="s">
        <v>61</v>
      </c>
      <c r="B8">
        <v>54795</v>
      </c>
      <c r="C8">
        <v>56160</v>
      </c>
      <c r="D8">
        <v>53585</v>
      </c>
      <c r="E8">
        <v>49355</v>
      </c>
      <c r="F8">
        <v>46370</v>
      </c>
      <c r="G8">
        <v>41260</v>
      </c>
      <c r="H8">
        <v>45430</v>
      </c>
      <c r="I8">
        <v>44650</v>
      </c>
      <c r="J8">
        <v>42970</v>
      </c>
      <c r="K8">
        <v>42355</v>
      </c>
    </row>
    <row r="9" spans="1:12" x14ac:dyDescent="0.25">
      <c r="A9" t="s">
        <v>62</v>
      </c>
      <c r="B9">
        <v>0.53192532528757308</v>
      </c>
      <c r="C9">
        <v>0.5329026668675606</v>
      </c>
      <c r="D9">
        <v>0.52206787409882183</v>
      </c>
      <c r="E9">
        <v>0.52018921095008053</v>
      </c>
      <c r="F9">
        <v>0.51602453788998437</v>
      </c>
      <c r="G9">
        <v>0.52587457041260255</v>
      </c>
      <c r="H9">
        <v>0.53979854189412879</v>
      </c>
      <c r="I9">
        <v>0.55140236844448398</v>
      </c>
      <c r="J9">
        <v>0.54277806746620672</v>
      </c>
      <c r="K9">
        <v>0.53508081226688764</v>
      </c>
    </row>
    <row r="10" spans="1:12" x14ac:dyDescent="0.25">
      <c r="A10" t="s">
        <v>63</v>
      </c>
      <c r="C10">
        <f>(C7-B7)/B7</f>
        <v>3.0842314237095859E-3</v>
      </c>
      <c r="D10">
        <f t="shared" ref="D10:K10" si="2">(D7-C7)/C7</f>
        <v>-5.5628202862696589E-2</v>
      </c>
      <c r="E10">
        <f t="shared" si="2"/>
        <v>-3.2858051719621272E-2</v>
      </c>
      <c r="F10">
        <f t="shared" si="2"/>
        <v>-1.3736795263707774E-2</v>
      </c>
      <c r="G10">
        <f t="shared" si="2"/>
        <v>3.8606403013182675E-2</v>
      </c>
      <c r="H10">
        <f t="shared" si="2"/>
        <v>0.15794046539740103</v>
      </c>
      <c r="I10">
        <f t="shared" si="2"/>
        <v>1.0145825857175481E-2</v>
      </c>
      <c r="J10">
        <f t="shared" si="2"/>
        <v>-0.12595271928691384</v>
      </c>
      <c r="K10">
        <f t="shared" si="2"/>
        <v>-4.5854271356783917E-2</v>
      </c>
    </row>
    <row r="11" spans="1:12" x14ac:dyDescent="0.25">
      <c r="A11" t="s">
        <v>64</v>
      </c>
      <c r="B11">
        <f>B8/B7</f>
        <v>0.38850680657969372</v>
      </c>
      <c r="C11">
        <f t="shared" ref="C11:K11" si="3">C8/C7</f>
        <v>0.39696059374447784</v>
      </c>
      <c r="D11">
        <f t="shared" si="3"/>
        <v>0.40107031922457992</v>
      </c>
      <c r="E11">
        <f t="shared" si="3"/>
        <v>0.38196029872692799</v>
      </c>
      <c r="F11">
        <f t="shared" si="3"/>
        <v>0.36385750156936597</v>
      </c>
      <c r="G11">
        <f t="shared" si="3"/>
        <v>0.31172559685705653</v>
      </c>
      <c r="H11">
        <f t="shared" si="3"/>
        <v>0.29641470655400776</v>
      </c>
      <c r="I11">
        <f t="shared" si="3"/>
        <v>0.28839943159798476</v>
      </c>
      <c r="J11">
        <f t="shared" si="3"/>
        <v>0.31754360035471474</v>
      </c>
      <c r="K11">
        <f t="shared" si="3"/>
        <v>0.32804089377686557</v>
      </c>
      <c r="L11">
        <f>AVERAGE(B11:K11)</f>
        <v>0.34744797489856749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3D91-8EAD-4EDB-AEF9-AAFC3DC7582D}">
  <dimension ref="A1:L26"/>
  <sheetViews>
    <sheetView workbookViewId="0">
      <selection activeCell="L16" sqref="L16"/>
    </sheetView>
  </sheetViews>
  <sheetFormatPr defaultRowHeight="15" x14ac:dyDescent="0.25"/>
  <cols>
    <col min="1" max="1" width="32.42578125" customWidth="1"/>
  </cols>
  <sheetData>
    <row r="1" spans="1:12" x14ac:dyDescent="0.2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2" x14ac:dyDescent="0.25">
      <c r="A2" t="s">
        <v>65</v>
      </c>
      <c r="B2">
        <v>3920</v>
      </c>
      <c r="C2">
        <v>3905</v>
      </c>
      <c r="D2">
        <v>4235</v>
      </c>
      <c r="E2">
        <v>4680</v>
      </c>
      <c r="F2">
        <v>5200</v>
      </c>
      <c r="G2">
        <v>5410</v>
      </c>
      <c r="H2">
        <v>6425</v>
      </c>
      <c r="I2">
        <v>7270</v>
      </c>
      <c r="J2">
        <v>7205</v>
      </c>
      <c r="K2">
        <v>7375</v>
      </c>
    </row>
    <row r="3" spans="1:12" x14ac:dyDescent="0.25">
      <c r="A3" t="s">
        <v>66</v>
      </c>
      <c r="B3" s="1">
        <v>1425</v>
      </c>
      <c r="C3" s="1">
        <v>1480</v>
      </c>
      <c r="D3" s="1">
        <v>1550</v>
      </c>
      <c r="E3" s="1">
        <v>1610</v>
      </c>
      <c r="F3" s="1">
        <v>1600</v>
      </c>
      <c r="G3" s="1">
        <v>1615</v>
      </c>
      <c r="H3" s="1">
        <v>1530</v>
      </c>
      <c r="I3" s="1">
        <v>1880</v>
      </c>
      <c r="J3" s="1">
        <v>2470</v>
      </c>
      <c r="K3" s="1">
        <v>2560</v>
      </c>
    </row>
    <row r="4" spans="1:12" x14ac:dyDescent="0.25">
      <c r="A4" t="s">
        <v>67</v>
      </c>
      <c r="B4" s="10">
        <v>1.4784084480482745E-2</v>
      </c>
      <c r="C4" s="10">
        <v>1.4709205966551153E-2</v>
      </c>
      <c r="D4" s="10">
        <v>1.6548463356973995E-2</v>
      </c>
      <c r="E4" s="10">
        <v>1.8840579710144929E-2</v>
      </c>
      <c r="F4" s="10">
        <v>2.1055615168141233E-2</v>
      </c>
      <c r="G4" s="10">
        <v>2.1494268857148533E-2</v>
      </c>
      <c r="H4" s="10">
        <v>2.2628816961927235E-2</v>
      </c>
      <c r="I4" s="10">
        <v>2.5892618644822368E-2</v>
      </c>
      <c r="J4" s="10">
        <v>2.8899763346837269E-2</v>
      </c>
      <c r="K4" s="10">
        <v>3.0563613758806465E-2</v>
      </c>
    </row>
    <row r="5" spans="1:12" s="10" customFormat="1" x14ac:dyDescent="0.25">
      <c r="A5" s="10" t="s">
        <v>68</v>
      </c>
      <c r="C5" s="10">
        <f t="shared" ref="C5:K5" si="0">(C2-B2)/B2</f>
        <v>-3.8265306122448979E-3</v>
      </c>
      <c r="D5" s="10">
        <f t="shared" si="0"/>
        <v>8.4507042253521125E-2</v>
      </c>
      <c r="E5" s="10">
        <f t="shared" si="0"/>
        <v>0.1050767414403778</v>
      </c>
      <c r="F5" s="10">
        <f t="shared" si="0"/>
        <v>0.1111111111111111</v>
      </c>
      <c r="G5" s="10">
        <f t="shared" si="0"/>
        <v>4.0384615384615387E-2</v>
      </c>
      <c r="H5" s="10">
        <f t="shared" si="0"/>
        <v>0.1876155268022181</v>
      </c>
      <c r="I5" s="10">
        <f t="shared" si="0"/>
        <v>0.13151750972762646</v>
      </c>
      <c r="J5" s="10">
        <f t="shared" si="0"/>
        <v>-8.9408528198074277E-3</v>
      </c>
      <c r="K5" s="10">
        <f t="shared" si="0"/>
        <v>2.3594725884802221E-2</v>
      </c>
    </row>
    <row r="6" spans="1:12" s="10" customFormat="1" x14ac:dyDescent="0.25">
      <c r="A6" s="10" t="s">
        <v>69</v>
      </c>
      <c r="B6" s="10">
        <f>B3/B2</f>
        <v>0.36352040816326531</v>
      </c>
      <c r="C6" s="10">
        <f t="shared" ref="C6:K6" si="1">C3/C2</f>
        <v>0.37900128040973113</v>
      </c>
      <c r="D6" s="10">
        <f t="shared" si="1"/>
        <v>0.36599763872491148</v>
      </c>
      <c r="E6" s="10">
        <f t="shared" si="1"/>
        <v>0.34401709401709402</v>
      </c>
      <c r="F6" s="10">
        <f t="shared" si="1"/>
        <v>0.30769230769230771</v>
      </c>
      <c r="G6" s="10">
        <f t="shared" si="1"/>
        <v>0.29852125693160814</v>
      </c>
      <c r="H6" s="10">
        <f t="shared" si="1"/>
        <v>0.23813229571984434</v>
      </c>
      <c r="I6" s="10">
        <f t="shared" si="1"/>
        <v>0.25859697386519948</v>
      </c>
      <c r="J6" s="10">
        <f t="shared" si="1"/>
        <v>0.3428174878556558</v>
      </c>
      <c r="K6" s="10">
        <f t="shared" si="1"/>
        <v>0.34711864406779663</v>
      </c>
      <c r="L6" s="10">
        <f>AVERAGE(B6:K6)</f>
        <v>0.3245415387447414</v>
      </c>
    </row>
    <row r="7" spans="1:12" x14ac:dyDescent="0.25">
      <c r="A7" t="s">
        <v>70</v>
      </c>
      <c r="B7" s="1">
        <v>24525</v>
      </c>
      <c r="C7" s="1">
        <v>23355</v>
      </c>
      <c r="D7" s="1">
        <v>22985</v>
      </c>
      <c r="E7" s="1">
        <v>23850</v>
      </c>
      <c r="F7" s="1">
        <v>23435</v>
      </c>
      <c r="G7" s="1">
        <v>23385</v>
      </c>
      <c r="H7" s="1">
        <v>24455</v>
      </c>
      <c r="I7" s="1">
        <v>23915</v>
      </c>
      <c r="J7" s="1">
        <v>23010</v>
      </c>
      <c r="K7" s="1">
        <v>23980</v>
      </c>
    </row>
    <row r="8" spans="1:12" x14ac:dyDescent="0.25">
      <c r="A8" t="s">
        <v>71</v>
      </c>
      <c r="B8" s="1">
        <v>11220</v>
      </c>
      <c r="C8" s="1">
        <v>10690</v>
      </c>
      <c r="D8" s="1">
        <v>10485</v>
      </c>
      <c r="E8" s="1">
        <v>10525</v>
      </c>
      <c r="F8" s="1">
        <v>9865</v>
      </c>
      <c r="G8" s="1">
        <v>9115</v>
      </c>
      <c r="H8" s="1">
        <v>8705</v>
      </c>
      <c r="I8" s="1">
        <v>7825</v>
      </c>
      <c r="J8" s="1">
        <v>8760</v>
      </c>
      <c r="K8" s="1">
        <v>10280</v>
      </c>
    </row>
    <row r="9" spans="1:12" s="10" customFormat="1" x14ac:dyDescent="0.25">
      <c r="A9" s="10" t="s">
        <v>72</v>
      </c>
      <c r="B9" s="10">
        <v>9.249481425608147E-2</v>
      </c>
      <c r="C9" s="10">
        <v>8.7972728642458947E-2</v>
      </c>
      <c r="D9" s="10">
        <v>8.9814977629290971E-2</v>
      </c>
      <c r="E9" s="10">
        <v>9.6014492753623185E-2</v>
      </c>
      <c r="F9" s="10">
        <v>9.4891988743344202E-2</v>
      </c>
      <c r="G9" s="10">
        <v>9.2910069727249245E-2</v>
      </c>
      <c r="H9" s="10">
        <v>8.6130384249638994E-2</v>
      </c>
      <c r="I9" s="10">
        <v>8.5174962158311815E-2</v>
      </c>
      <c r="J9" s="10">
        <v>9.2294733464361636E-2</v>
      </c>
      <c r="K9" s="10">
        <v>9.9378367177786989E-2</v>
      </c>
    </row>
    <row r="10" spans="1:12" s="10" customFormat="1" x14ac:dyDescent="0.25">
      <c r="A10" s="10" t="s">
        <v>73</v>
      </c>
      <c r="C10" s="10">
        <f>(C7-B7)/B7</f>
        <v>-4.7706422018348627E-2</v>
      </c>
      <c r="D10" s="10">
        <f t="shared" ref="D10:K10" si="2">(D7-C7)/C7</f>
        <v>-1.5842432027403125E-2</v>
      </c>
      <c r="E10" s="10">
        <f t="shared" si="2"/>
        <v>3.7633239068958019E-2</v>
      </c>
      <c r="F10" s="10">
        <f t="shared" si="2"/>
        <v>-1.7400419287211741E-2</v>
      </c>
      <c r="G10" s="10">
        <f t="shared" si="2"/>
        <v>-2.1335609131640709E-3</v>
      </c>
      <c r="H10" s="10">
        <f t="shared" si="2"/>
        <v>4.575582638443447E-2</v>
      </c>
      <c r="I10" s="10">
        <f t="shared" si="2"/>
        <v>-2.2081373952157025E-2</v>
      </c>
      <c r="J10" s="10">
        <f t="shared" si="2"/>
        <v>-3.7842358352498433E-2</v>
      </c>
      <c r="K10" s="10">
        <f t="shared" si="2"/>
        <v>4.2155584528465885E-2</v>
      </c>
    </row>
    <row r="11" spans="1:12" s="10" customFormat="1" x14ac:dyDescent="0.25">
      <c r="A11" s="10" t="s">
        <v>74</v>
      </c>
      <c r="B11" s="10">
        <f>B8/B7</f>
        <v>0.45749235474006117</v>
      </c>
      <c r="C11" s="10">
        <f t="shared" ref="C11:K11" si="3">C8/C7</f>
        <v>0.45771783344037681</v>
      </c>
      <c r="D11" s="10">
        <f t="shared" si="3"/>
        <v>0.45616706547748531</v>
      </c>
      <c r="E11" s="10">
        <f t="shared" si="3"/>
        <v>0.44129979035639411</v>
      </c>
      <c r="F11" s="10">
        <f t="shared" si="3"/>
        <v>0.4209515681672712</v>
      </c>
      <c r="G11" s="10">
        <f t="shared" si="3"/>
        <v>0.38977977335899083</v>
      </c>
      <c r="H11" s="10">
        <f t="shared" si="3"/>
        <v>0.35595992639542018</v>
      </c>
      <c r="I11" s="10">
        <f t="shared" si="3"/>
        <v>0.32720050177712734</v>
      </c>
      <c r="J11" s="10">
        <f t="shared" si="3"/>
        <v>0.38070404172099087</v>
      </c>
      <c r="K11" s="10">
        <f t="shared" si="3"/>
        <v>0.42869057547956629</v>
      </c>
      <c r="L11" s="10">
        <f>AVERAGE(B11:K11)</f>
        <v>0.41159634309136839</v>
      </c>
    </row>
    <row r="12" spans="1:12" x14ac:dyDescent="0.25">
      <c r="A12" t="s">
        <v>75</v>
      </c>
      <c r="B12" s="1">
        <v>60845</v>
      </c>
      <c r="C12" s="1">
        <v>59480</v>
      </c>
      <c r="D12" s="1">
        <v>56115</v>
      </c>
      <c r="E12" s="1">
        <v>52960</v>
      </c>
      <c r="F12" s="1">
        <v>51760</v>
      </c>
      <c r="G12" s="1">
        <v>52315</v>
      </c>
      <c r="H12" s="1">
        <v>58665</v>
      </c>
      <c r="I12" s="1">
        <v>57025</v>
      </c>
      <c r="J12" s="1">
        <v>51740</v>
      </c>
      <c r="K12" s="1">
        <v>50530</v>
      </c>
    </row>
    <row r="13" spans="1:12" x14ac:dyDescent="0.25">
      <c r="A13" t="s">
        <v>76</v>
      </c>
      <c r="B13" s="1">
        <v>25490</v>
      </c>
      <c r="C13" s="1">
        <v>25780</v>
      </c>
      <c r="D13" s="1">
        <v>23820</v>
      </c>
      <c r="E13" s="1">
        <v>22050</v>
      </c>
      <c r="F13" s="1">
        <v>20265</v>
      </c>
      <c r="G13" s="1">
        <v>17950</v>
      </c>
      <c r="H13" s="1">
        <v>19595</v>
      </c>
      <c r="I13" s="1">
        <v>18040</v>
      </c>
      <c r="J13" s="1">
        <v>16995</v>
      </c>
      <c r="K13" s="1">
        <v>18215</v>
      </c>
    </row>
    <row r="14" spans="1:12" x14ac:dyDescent="0.25">
      <c r="A14" t="s">
        <v>77</v>
      </c>
      <c r="B14" s="9">
        <v>0.2294738827079012</v>
      </c>
      <c r="C14" s="9">
        <v>0.22404700919089951</v>
      </c>
      <c r="D14" s="9">
        <v>0.21927202391419026</v>
      </c>
      <c r="E14" s="9">
        <v>0.21320450885668277</v>
      </c>
      <c r="F14" s="9">
        <v>0.20958435405826736</v>
      </c>
      <c r="G14" s="9">
        <v>0.20785077176741693</v>
      </c>
      <c r="H14" s="9">
        <v>0.20661782833797063</v>
      </c>
      <c r="I14" s="9">
        <v>0.2030985664678123</v>
      </c>
      <c r="J14" s="9">
        <v>0.20753279050178491</v>
      </c>
      <c r="K14" s="9">
        <v>0.20940737670949025</v>
      </c>
    </row>
    <row r="15" spans="1:12" s="10" customFormat="1" x14ac:dyDescent="0.25">
      <c r="A15" s="10" t="s">
        <v>78</v>
      </c>
      <c r="C15" s="10">
        <f>(C12-B12)/B12</f>
        <v>-2.2434053743117757E-2</v>
      </c>
      <c r="D15" s="10">
        <f t="shared" ref="D15:K15" si="4">(D12-C12)/C12</f>
        <v>-5.6573638197713515E-2</v>
      </c>
      <c r="E15" s="10">
        <f t="shared" si="4"/>
        <v>-5.6223826071460391E-2</v>
      </c>
      <c r="F15" s="10">
        <f t="shared" si="4"/>
        <v>-2.2658610271903322E-2</v>
      </c>
      <c r="G15" s="10">
        <f t="shared" si="4"/>
        <v>1.0722565687789799E-2</v>
      </c>
      <c r="H15" s="10">
        <f t="shared" si="4"/>
        <v>0.12138010130937589</v>
      </c>
      <c r="I15" s="10">
        <f t="shared" si="4"/>
        <v>-2.795533964033069E-2</v>
      </c>
      <c r="J15" s="10">
        <f t="shared" si="4"/>
        <v>-9.2678649715037267E-2</v>
      </c>
      <c r="K15" s="10">
        <f t="shared" si="4"/>
        <v>-2.338616157711635E-2</v>
      </c>
    </row>
    <row r="16" spans="1:12" s="10" customFormat="1" x14ac:dyDescent="0.25">
      <c r="A16" s="10" t="s">
        <v>79</v>
      </c>
      <c r="B16" s="10">
        <f>B13/B12</f>
        <v>0.41893335524693892</v>
      </c>
      <c r="C16" s="10">
        <f t="shared" ref="C16:K16" si="5">C13/C12</f>
        <v>0.43342299932750505</v>
      </c>
      <c r="D16" s="10">
        <f t="shared" si="5"/>
        <v>0.42448543170275327</v>
      </c>
      <c r="E16" s="10">
        <f t="shared" si="5"/>
        <v>0.41635196374622357</v>
      </c>
      <c r="F16" s="10">
        <f t="shared" si="5"/>
        <v>0.39151854714064915</v>
      </c>
      <c r="G16" s="10">
        <f t="shared" si="5"/>
        <v>0.34311382968555865</v>
      </c>
      <c r="H16" s="10">
        <f t="shared" si="5"/>
        <v>0.33401517088553651</v>
      </c>
      <c r="I16" s="10">
        <f t="shared" si="5"/>
        <v>0.31635247698377905</v>
      </c>
      <c r="J16" s="10">
        <f t="shared" si="5"/>
        <v>0.32846926942404331</v>
      </c>
      <c r="K16" s="10">
        <f t="shared" si="5"/>
        <v>0.36047892341183457</v>
      </c>
      <c r="L16" s="10">
        <f>AVERAGE(B16:K16)</f>
        <v>0.37671419675548218</v>
      </c>
    </row>
    <row r="17" spans="1:12" x14ac:dyDescent="0.25">
      <c r="A17" t="s">
        <v>80</v>
      </c>
      <c r="B17" s="1">
        <v>93660</v>
      </c>
      <c r="C17" s="1">
        <v>97670</v>
      </c>
      <c r="D17" s="1">
        <v>97590</v>
      </c>
      <c r="E17" s="1">
        <v>94930</v>
      </c>
      <c r="F17" s="1">
        <v>95195</v>
      </c>
      <c r="G17" s="1">
        <v>99520</v>
      </c>
      <c r="H17" s="1">
        <v>115505</v>
      </c>
      <c r="I17" s="1">
        <v>114300</v>
      </c>
      <c r="J17" s="1">
        <v>99305</v>
      </c>
      <c r="K17" s="1">
        <v>94370</v>
      </c>
    </row>
    <row r="18" spans="1:12" x14ac:dyDescent="0.25">
      <c r="A18" t="s">
        <v>81</v>
      </c>
      <c r="B18" s="1">
        <v>38860</v>
      </c>
      <c r="C18" s="1">
        <v>41600</v>
      </c>
      <c r="D18" s="1">
        <v>43215</v>
      </c>
      <c r="E18" s="1">
        <v>40285</v>
      </c>
      <c r="F18" s="1">
        <v>39300</v>
      </c>
      <c r="G18" s="1">
        <v>35945</v>
      </c>
      <c r="H18" s="1">
        <v>40630</v>
      </c>
      <c r="I18" s="1">
        <v>39260</v>
      </c>
      <c r="J18" s="1">
        <v>36095</v>
      </c>
      <c r="K18" s="1">
        <v>34900</v>
      </c>
    </row>
    <row r="19" spans="1:12" s="10" customFormat="1" x14ac:dyDescent="0.25">
      <c r="A19" s="10" t="s">
        <v>82</v>
      </c>
      <c r="B19" s="10">
        <v>0.3532340184801056</v>
      </c>
      <c r="C19" s="10">
        <v>0.36789965345788761</v>
      </c>
      <c r="D19" s="10">
        <v>0.38133755348455539</v>
      </c>
      <c r="E19" s="10">
        <v>0.38216586151368759</v>
      </c>
      <c r="F19" s="10">
        <v>0.38545947806369324</v>
      </c>
      <c r="G19" s="10">
        <v>0.395399193468285</v>
      </c>
      <c r="H19" s="10">
        <v>0.40680801606029654</v>
      </c>
      <c r="I19" s="10">
        <v>0.40708752559878908</v>
      </c>
      <c r="J19" s="10">
        <v>0.39831936143756769</v>
      </c>
      <c r="K19" s="10">
        <v>0.39108992954828015</v>
      </c>
    </row>
    <row r="20" spans="1:12" s="10" customFormat="1" x14ac:dyDescent="0.25">
      <c r="A20" s="10" t="s">
        <v>83</v>
      </c>
      <c r="C20" s="10">
        <f>(C17-B17)/B17</f>
        <v>4.2814435191116808E-2</v>
      </c>
      <c r="D20" s="10">
        <f t="shared" ref="D20:K20" si="6">(D17-C17)/C17</f>
        <v>-8.1908467287805881E-4</v>
      </c>
      <c r="E20" s="10">
        <f t="shared" si="6"/>
        <v>-2.7256891074905216E-2</v>
      </c>
      <c r="F20" s="10">
        <f t="shared" si="6"/>
        <v>2.7915306014958392E-3</v>
      </c>
      <c r="G20" s="10">
        <f t="shared" si="6"/>
        <v>4.5433058458952673E-2</v>
      </c>
      <c r="H20" s="10">
        <f t="shared" si="6"/>
        <v>0.1606209807073955</v>
      </c>
      <c r="I20" s="10">
        <f t="shared" si="6"/>
        <v>-1.0432448811739752E-2</v>
      </c>
      <c r="J20" s="10">
        <f t="shared" si="6"/>
        <v>-0.13118985126859142</v>
      </c>
      <c r="K20" s="10">
        <f t="shared" si="6"/>
        <v>-4.9695382911233071E-2</v>
      </c>
    </row>
    <row r="21" spans="1:12" s="10" customFormat="1" x14ac:dyDescent="0.25">
      <c r="A21" s="10" t="s">
        <v>84</v>
      </c>
      <c r="B21" s="10">
        <f>B18/B17</f>
        <v>0.41490497544309202</v>
      </c>
      <c r="C21" s="10">
        <f t="shared" ref="C21:K21" si="7">C18/C17</f>
        <v>0.42592402989659056</v>
      </c>
      <c r="D21" s="10">
        <f t="shared" si="7"/>
        <v>0.44282201045189057</v>
      </c>
      <c r="E21" s="10">
        <f t="shared" si="7"/>
        <v>0.424365321816075</v>
      </c>
      <c r="F21" s="10">
        <f t="shared" si="7"/>
        <v>0.41283680865591682</v>
      </c>
      <c r="G21" s="10">
        <f t="shared" si="7"/>
        <v>0.36118368167202575</v>
      </c>
      <c r="H21" s="10">
        <f t="shared" si="7"/>
        <v>0.35175966408380588</v>
      </c>
      <c r="I21" s="10">
        <f t="shared" si="7"/>
        <v>0.34348206474190729</v>
      </c>
      <c r="J21" s="10">
        <f t="shared" si="7"/>
        <v>0.36347615930718491</v>
      </c>
      <c r="K21" s="10">
        <f t="shared" si="7"/>
        <v>0.36982091766451203</v>
      </c>
      <c r="L21" s="10">
        <f>AVERAGE(B21:K21)</f>
        <v>0.39105756337330011</v>
      </c>
    </row>
    <row r="22" spans="1:12" x14ac:dyDescent="0.25">
      <c r="A22" t="s">
        <v>85</v>
      </c>
      <c r="B22" s="1">
        <v>82200</v>
      </c>
      <c r="C22" s="1">
        <v>81070</v>
      </c>
      <c r="D22" s="1">
        <v>74995</v>
      </c>
      <c r="E22" s="1">
        <v>71975</v>
      </c>
      <c r="F22" s="1">
        <v>71375</v>
      </c>
      <c r="G22" s="1">
        <v>71070</v>
      </c>
      <c r="H22" s="1">
        <v>78880</v>
      </c>
      <c r="I22" s="1">
        <v>78270</v>
      </c>
      <c r="J22" s="1">
        <v>68045</v>
      </c>
      <c r="K22" s="1">
        <v>65050</v>
      </c>
    </row>
    <row r="23" spans="1:12" x14ac:dyDescent="0.25">
      <c r="A23" t="s">
        <v>86</v>
      </c>
      <c r="B23" s="1">
        <v>36495</v>
      </c>
      <c r="C23" s="1">
        <v>36310</v>
      </c>
      <c r="D23" s="1">
        <v>37310</v>
      </c>
      <c r="E23" s="1">
        <v>34640</v>
      </c>
      <c r="F23" s="1">
        <v>33295</v>
      </c>
      <c r="G23" s="1">
        <v>29160</v>
      </c>
      <c r="H23" s="1">
        <v>31985</v>
      </c>
      <c r="I23" s="1">
        <v>31170</v>
      </c>
      <c r="J23" s="1">
        <v>28395</v>
      </c>
      <c r="K23" s="1">
        <v>26230</v>
      </c>
    </row>
    <row r="24" spans="1:12" s="10" customFormat="1" x14ac:dyDescent="0.25">
      <c r="A24" s="10" t="s">
        <v>87</v>
      </c>
      <c r="B24" s="10">
        <v>0.31001320007542899</v>
      </c>
      <c r="C24" s="10">
        <v>0.30537140274220281</v>
      </c>
      <c r="D24" s="10">
        <v>0.29304651935212861</v>
      </c>
      <c r="E24" s="10">
        <v>0.28975442834138487</v>
      </c>
      <c r="F24" s="10">
        <v>0.28900856396655394</v>
      </c>
      <c r="G24" s="10">
        <v>0.28236556149307696</v>
      </c>
      <c r="H24" s="10">
        <v>0.27781495439016657</v>
      </c>
      <c r="I24" s="10">
        <v>0.27876413498352776</v>
      </c>
      <c r="J24" s="10">
        <v>0.27293329589667481</v>
      </c>
      <c r="K24" s="10">
        <v>0.2695814338997099</v>
      </c>
    </row>
    <row r="25" spans="1:12" s="10" customFormat="1" x14ac:dyDescent="0.25">
      <c r="A25" s="10" t="s">
        <v>88</v>
      </c>
      <c r="C25" s="10">
        <f>(C22-B22)/B22</f>
        <v>-1.3746958637469586E-2</v>
      </c>
      <c r="D25" s="10">
        <f t="shared" ref="D25:K25" si="8">(D22-C22)/C22</f>
        <v>-7.4935241149623785E-2</v>
      </c>
      <c r="E25" s="10">
        <f t="shared" si="8"/>
        <v>-4.0269351290086006E-2</v>
      </c>
      <c r="F25" s="10">
        <f t="shared" si="8"/>
        <v>-8.3362278568947547E-3</v>
      </c>
      <c r="G25" s="10">
        <f t="shared" si="8"/>
        <v>-4.2732049036777586E-3</v>
      </c>
      <c r="H25" s="10">
        <f t="shared" si="8"/>
        <v>0.10989165611369073</v>
      </c>
      <c r="I25" s="10">
        <f t="shared" si="8"/>
        <v>-7.7332657200811358E-3</v>
      </c>
      <c r="J25" s="10">
        <f t="shared" si="8"/>
        <v>-0.13063753673182574</v>
      </c>
      <c r="K25" s="10">
        <f t="shared" si="8"/>
        <v>-4.4014990080094053E-2</v>
      </c>
    </row>
    <row r="26" spans="1:12" s="10" customFormat="1" x14ac:dyDescent="0.25">
      <c r="A26" s="10" t="s">
        <v>89</v>
      </c>
      <c r="B26" s="10">
        <f>B23/B22</f>
        <v>0.44397810218978101</v>
      </c>
      <c r="C26" s="10">
        <f t="shared" ref="C26:K26" si="9">C23/C22</f>
        <v>0.44788454422104357</v>
      </c>
      <c r="D26" s="10">
        <f t="shared" si="9"/>
        <v>0.49749983332222147</v>
      </c>
      <c r="E26" s="10">
        <f t="shared" si="9"/>
        <v>0.48127822160472389</v>
      </c>
      <c r="F26" s="10">
        <f t="shared" si="9"/>
        <v>0.46647985989492119</v>
      </c>
      <c r="G26" s="10">
        <f t="shared" si="9"/>
        <v>0.41029970451667369</v>
      </c>
      <c r="H26" s="10">
        <f t="shared" si="9"/>
        <v>0.40548935091277888</v>
      </c>
      <c r="I26" s="10">
        <f t="shared" si="9"/>
        <v>0.39823687236489075</v>
      </c>
      <c r="J26" s="10">
        <f t="shared" si="9"/>
        <v>0.41729737673598355</v>
      </c>
      <c r="K26" s="10">
        <f t="shared" si="9"/>
        <v>0.40322828593389698</v>
      </c>
      <c r="L26" s="10">
        <f>AVERAGE(B26:K26)</f>
        <v>0.43716721516969159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B8B5-9280-4B83-B174-48CBC1EABE4B}">
  <dimension ref="A1:N36"/>
  <sheetViews>
    <sheetView topLeftCell="A4" workbookViewId="0">
      <selection activeCell="A27" sqref="A27"/>
    </sheetView>
  </sheetViews>
  <sheetFormatPr defaultRowHeight="15" x14ac:dyDescent="0.25"/>
  <cols>
    <col min="1" max="1" width="61.7109375" customWidth="1"/>
  </cols>
  <sheetData>
    <row r="1" spans="1:14" x14ac:dyDescent="0.2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4" x14ac:dyDescent="0.25">
      <c r="A2" t="s">
        <v>90</v>
      </c>
      <c r="B2" s="1">
        <v>8590</v>
      </c>
      <c r="C2" s="1">
        <v>4935</v>
      </c>
      <c r="D2" s="1">
        <v>1030</v>
      </c>
      <c r="E2" s="1">
        <v>15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4" x14ac:dyDescent="0.25">
      <c r="A3" t="s">
        <v>91</v>
      </c>
      <c r="B3" s="1">
        <v>3490</v>
      </c>
      <c r="C3" s="1">
        <v>2905</v>
      </c>
      <c r="D3" s="1">
        <v>930</v>
      </c>
      <c r="E3" s="1">
        <v>15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4" x14ac:dyDescent="0.25">
      <c r="A4" t="s">
        <v>92</v>
      </c>
      <c r="B4" s="9">
        <v>3.239675655289459E-2</v>
      </c>
      <c r="C4" s="9">
        <v>1.8588970920596654E-2</v>
      </c>
      <c r="D4" s="9">
        <v>4.0247738506926124E-3</v>
      </c>
      <c r="E4" s="9">
        <v>6.0386473429951689E-5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</row>
    <row r="5" spans="1:14" x14ac:dyDescent="0.25">
      <c r="A5" t="s">
        <v>93</v>
      </c>
      <c r="C5">
        <f>(C2-B2)/B2</f>
        <v>-0.42549476135040742</v>
      </c>
      <c r="D5">
        <f>(D2-C2)/C2</f>
        <v>-0.79128672745694018</v>
      </c>
      <c r="E5">
        <f>(E2-D2)/D2</f>
        <v>-0.9854368932038835</v>
      </c>
    </row>
    <row r="6" spans="1:14" x14ac:dyDescent="0.25">
      <c r="A6" t="s">
        <v>94</v>
      </c>
      <c r="B6">
        <f>B3/B2</f>
        <v>0.40628637951105939</v>
      </c>
      <c r="C6">
        <f t="shared" ref="C6:D6" si="0">C3/C2</f>
        <v>0.58865248226950351</v>
      </c>
      <c r="D6">
        <f t="shared" si="0"/>
        <v>0.90291262135922334</v>
      </c>
      <c r="L6">
        <f>AVERAGE(B6:D6)</f>
        <v>0.63261716104659538</v>
      </c>
    </row>
    <row r="7" spans="1:14" x14ac:dyDescent="0.25">
      <c r="A7" t="s">
        <v>95</v>
      </c>
      <c r="B7" s="1">
        <v>37755</v>
      </c>
      <c r="C7" s="1">
        <v>32655</v>
      </c>
      <c r="D7" s="1">
        <v>26425</v>
      </c>
      <c r="E7" s="1">
        <v>20585</v>
      </c>
      <c r="F7" s="1">
        <v>16575</v>
      </c>
      <c r="G7" s="1">
        <v>12795</v>
      </c>
      <c r="H7" s="1">
        <v>12450</v>
      </c>
      <c r="I7" s="1">
        <v>11145</v>
      </c>
      <c r="J7" s="1">
        <v>8440</v>
      </c>
      <c r="K7" s="1">
        <v>7110</v>
      </c>
      <c r="M7" s="1"/>
      <c r="N7" s="1"/>
    </row>
    <row r="8" spans="1:14" x14ac:dyDescent="0.25">
      <c r="A8" t="s">
        <v>96</v>
      </c>
      <c r="B8" s="1">
        <v>14990</v>
      </c>
      <c r="C8" s="1">
        <v>15275</v>
      </c>
      <c r="D8" s="1">
        <v>13300</v>
      </c>
      <c r="E8" s="1">
        <v>10600</v>
      </c>
      <c r="F8" s="1">
        <v>7250</v>
      </c>
      <c r="G8" s="1">
        <v>5945</v>
      </c>
      <c r="H8" s="1">
        <v>5345</v>
      </c>
      <c r="I8" s="1">
        <v>4940</v>
      </c>
      <c r="J8" s="1">
        <v>3845</v>
      </c>
      <c r="K8" s="1">
        <v>3215</v>
      </c>
    </row>
    <row r="9" spans="1:14" x14ac:dyDescent="0.25">
      <c r="A9" t="s">
        <v>97</v>
      </c>
      <c r="B9" s="9">
        <v>0.14239109937771072</v>
      </c>
      <c r="C9" s="9">
        <v>0.12300361609160765</v>
      </c>
      <c r="D9" s="9">
        <v>0.10325694078111873</v>
      </c>
      <c r="E9" s="9">
        <v>8.2870370370370372E-2</v>
      </c>
      <c r="F9" s="9">
        <v>6.7114773348450188E-2</v>
      </c>
      <c r="G9" s="9">
        <v>5.0835336419078649E-2</v>
      </c>
      <c r="H9" s="9">
        <v>4.3848835980699469E-2</v>
      </c>
      <c r="I9" s="9">
        <v>3.9693704923871427E-2</v>
      </c>
      <c r="J9" s="9">
        <v>3.3853435481930129E-2</v>
      </c>
      <c r="K9" s="9">
        <v>2.9465395772896807E-2</v>
      </c>
    </row>
    <row r="10" spans="1:14" x14ac:dyDescent="0.25">
      <c r="A10" t="s">
        <v>98</v>
      </c>
      <c r="C10">
        <f t="shared" ref="C10:K10" si="1">(C7-B7)/B7</f>
        <v>-0.13508144616607071</v>
      </c>
      <c r="D10">
        <f t="shared" si="1"/>
        <v>-0.19078242229367631</v>
      </c>
      <c r="E10">
        <f t="shared" si="1"/>
        <v>-0.22100283822138128</v>
      </c>
      <c r="F10">
        <f t="shared" si="1"/>
        <v>-0.19480204032062182</v>
      </c>
      <c r="G10">
        <f t="shared" si="1"/>
        <v>-0.22805429864253393</v>
      </c>
      <c r="H10">
        <f t="shared" si="1"/>
        <v>-2.6963657678780773E-2</v>
      </c>
      <c r="I10">
        <f t="shared" si="1"/>
        <v>-0.10481927710843374</v>
      </c>
      <c r="J10">
        <f t="shared" si="1"/>
        <v>-0.24270973530731269</v>
      </c>
      <c r="K10">
        <f t="shared" si="1"/>
        <v>-0.15758293838862558</v>
      </c>
    </row>
    <row r="11" spans="1:14" x14ac:dyDescent="0.25">
      <c r="A11" t="s">
        <v>99</v>
      </c>
      <c r="B11">
        <f>B8/B7</f>
        <v>0.39703350549596078</v>
      </c>
      <c r="C11">
        <f t="shared" ref="C11:K11" si="2">C8/C7</f>
        <v>0.46776910120961568</v>
      </c>
      <c r="D11">
        <f t="shared" si="2"/>
        <v>0.50331125827814571</v>
      </c>
      <c r="E11">
        <f t="shared" si="2"/>
        <v>0.51493806169540923</v>
      </c>
      <c r="F11">
        <f t="shared" si="2"/>
        <v>0.43740573152337858</v>
      </c>
      <c r="G11">
        <f t="shared" si="2"/>
        <v>0.46463462289957014</v>
      </c>
      <c r="H11">
        <f t="shared" si="2"/>
        <v>0.42931726907630524</v>
      </c>
      <c r="I11">
        <f t="shared" si="2"/>
        <v>0.44324809331538806</v>
      </c>
      <c r="J11">
        <f t="shared" si="2"/>
        <v>0.45556872037914692</v>
      </c>
      <c r="K11">
        <f t="shared" si="2"/>
        <v>0.45218002812939523</v>
      </c>
      <c r="L11">
        <f>AVERAGE(B11:D11)</f>
        <v>0.45603795499457406</v>
      </c>
    </row>
    <row r="12" spans="1:14" x14ac:dyDescent="0.25">
      <c r="A12" t="s">
        <v>100</v>
      </c>
      <c r="B12" s="1">
        <v>92940</v>
      </c>
      <c r="C12" s="1">
        <v>97150</v>
      </c>
      <c r="D12" s="1">
        <v>98705</v>
      </c>
      <c r="E12" s="1">
        <v>97185</v>
      </c>
      <c r="F12" s="1">
        <v>98305</v>
      </c>
      <c r="G12" s="1">
        <v>96105</v>
      </c>
      <c r="H12" s="1">
        <v>107450</v>
      </c>
      <c r="I12" s="1">
        <v>103910</v>
      </c>
      <c r="J12" s="1">
        <v>86840</v>
      </c>
      <c r="K12" s="1">
        <v>80375</v>
      </c>
      <c r="N12" s="3"/>
    </row>
    <row r="13" spans="1:14" x14ac:dyDescent="0.25">
      <c r="A13" t="s">
        <v>101</v>
      </c>
      <c r="B13" s="1">
        <v>43500</v>
      </c>
      <c r="C13" s="1">
        <v>44265</v>
      </c>
      <c r="D13" s="1">
        <v>46585</v>
      </c>
      <c r="E13" s="1">
        <v>44575</v>
      </c>
      <c r="F13" s="1">
        <v>42040</v>
      </c>
      <c r="G13" s="1">
        <v>36040</v>
      </c>
      <c r="H13" s="1">
        <v>40470</v>
      </c>
      <c r="I13" s="1">
        <v>38585</v>
      </c>
      <c r="J13" s="1">
        <v>35320</v>
      </c>
      <c r="K13" s="1">
        <v>33845</v>
      </c>
      <c r="N13" s="3"/>
    </row>
    <row r="14" spans="1:14" x14ac:dyDescent="0.25">
      <c r="A14" t="s">
        <v>102</v>
      </c>
      <c r="B14" s="9">
        <v>0.35051857439185369</v>
      </c>
      <c r="C14" s="9">
        <v>0.36594093717040832</v>
      </c>
      <c r="D14" s="9">
        <v>0.38569446886661585</v>
      </c>
      <c r="E14" s="9">
        <v>0.39124396135265699</v>
      </c>
      <c r="F14" s="9">
        <v>0.39805235559694696</v>
      </c>
      <c r="G14" s="9">
        <v>0.38183118456862475</v>
      </c>
      <c r="H14" s="9">
        <v>0.3784383474800127</v>
      </c>
      <c r="I14" s="9">
        <v>0.37008280651767428</v>
      </c>
      <c r="J14" s="9">
        <v>0.34832136697284505</v>
      </c>
      <c r="K14" s="9">
        <v>0.33309158723580606</v>
      </c>
      <c r="N14" s="3"/>
    </row>
    <row r="15" spans="1:14" x14ac:dyDescent="0.25">
      <c r="A15" t="s">
        <v>103</v>
      </c>
      <c r="C15">
        <f>(C12-B12)/B12</f>
        <v>4.529804174736389E-2</v>
      </c>
      <c r="D15">
        <f t="shared" ref="D15:K15" si="3">(D12-C12)/C12</f>
        <v>1.6006176016469378E-2</v>
      </c>
      <c r="E15">
        <f t="shared" si="3"/>
        <v>-1.5399422521655439E-2</v>
      </c>
      <c r="F15">
        <f t="shared" si="3"/>
        <v>1.1524412203529351E-2</v>
      </c>
      <c r="G15">
        <f t="shared" si="3"/>
        <v>-2.2379329637353135E-2</v>
      </c>
      <c r="H15">
        <f t="shared" si="3"/>
        <v>0.11804796836793091</v>
      </c>
      <c r="I15">
        <f t="shared" si="3"/>
        <v>-3.2945556072591906E-2</v>
      </c>
      <c r="J15">
        <f t="shared" si="3"/>
        <v>-0.16427677798094506</v>
      </c>
      <c r="K15">
        <f t="shared" si="3"/>
        <v>-7.4447259327498849E-2</v>
      </c>
      <c r="N15" s="3"/>
    </row>
    <row r="16" spans="1:14" x14ac:dyDescent="0.25">
      <c r="A16" t="s">
        <v>104</v>
      </c>
      <c r="B16">
        <f>B13/B12</f>
        <v>0.46804389928986445</v>
      </c>
      <c r="C16">
        <f t="shared" ref="C16:K16" si="4">C13/C12</f>
        <v>0.45563561502830674</v>
      </c>
      <c r="D16">
        <f t="shared" si="4"/>
        <v>0.47196190669165694</v>
      </c>
      <c r="E16">
        <f t="shared" si="4"/>
        <v>0.45866131604671501</v>
      </c>
      <c r="F16">
        <f t="shared" si="4"/>
        <v>0.42764864452469353</v>
      </c>
      <c r="G16">
        <f t="shared" si="4"/>
        <v>0.3750065033036783</v>
      </c>
      <c r="H16">
        <f t="shared" si="4"/>
        <v>0.37664029781293623</v>
      </c>
      <c r="I16">
        <f t="shared" si="4"/>
        <v>0.371330959484169</v>
      </c>
      <c r="J16">
        <f t="shared" si="4"/>
        <v>0.40672501151543067</v>
      </c>
      <c r="K16">
        <f t="shared" si="4"/>
        <v>0.42108864696734061</v>
      </c>
      <c r="L16">
        <f>AVERAGE(B16:D16)</f>
        <v>0.46521380700327608</v>
      </c>
      <c r="N16" s="3"/>
    </row>
    <row r="17" spans="1:14" x14ac:dyDescent="0.25">
      <c r="A17" t="s">
        <v>105</v>
      </c>
      <c r="B17" s="1">
        <v>100420</v>
      </c>
      <c r="C17" s="1">
        <v>107660</v>
      </c>
      <c r="D17" s="1">
        <v>108085</v>
      </c>
      <c r="E17" s="1">
        <v>109160</v>
      </c>
      <c r="F17" s="1">
        <v>112920</v>
      </c>
      <c r="G17" s="1">
        <v>123140</v>
      </c>
      <c r="H17" s="1">
        <v>144875</v>
      </c>
      <c r="I17" s="1">
        <v>143360</v>
      </c>
      <c r="J17" s="1">
        <v>131245</v>
      </c>
      <c r="K17" s="1">
        <v>127585</v>
      </c>
      <c r="N17" s="3"/>
    </row>
    <row r="18" spans="1:14" x14ac:dyDescent="0.25">
      <c r="A18" t="s">
        <v>106</v>
      </c>
      <c r="B18" s="1">
        <v>34290</v>
      </c>
      <c r="C18" s="1">
        <v>36425</v>
      </c>
      <c r="D18" s="1">
        <v>38920</v>
      </c>
      <c r="E18" s="1">
        <v>36805</v>
      </c>
      <c r="F18" s="1">
        <v>39040</v>
      </c>
      <c r="G18" s="1">
        <v>36080</v>
      </c>
      <c r="H18" s="1">
        <v>39565</v>
      </c>
      <c r="I18" s="1">
        <v>36225</v>
      </c>
      <c r="J18" s="1">
        <v>36690</v>
      </c>
      <c r="K18" s="1">
        <v>39245</v>
      </c>
      <c r="N18" s="3"/>
    </row>
    <row r="19" spans="1:14" x14ac:dyDescent="0.25">
      <c r="A19" t="s">
        <v>107</v>
      </c>
      <c r="B19" s="9">
        <v>0.37872902130869318</v>
      </c>
      <c r="C19" s="9">
        <v>0.40552960675003769</v>
      </c>
      <c r="D19" s="9">
        <v>0.42234726373991366</v>
      </c>
      <c r="E19" s="9">
        <v>0.43945249597423508</v>
      </c>
      <c r="F19" s="9">
        <v>0.45723078168971309</v>
      </c>
      <c r="G19" s="9">
        <v>0.48924293291483739</v>
      </c>
      <c r="H19" s="9">
        <v>0.51024900503645265</v>
      </c>
      <c r="I19" s="9">
        <v>0.5105867687650254</v>
      </c>
      <c r="J19" s="9">
        <v>0.52643295495567766</v>
      </c>
      <c r="K19" s="9">
        <v>0.528740157480315</v>
      </c>
    </row>
    <row r="20" spans="1:14" x14ac:dyDescent="0.25">
      <c r="A20" t="s">
        <v>108</v>
      </c>
      <c r="C20">
        <f>(C17-B17)/B17</f>
        <v>7.209719179446325E-2</v>
      </c>
      <c r="D20">
        <f t="shared" ref="D20:K20" si="5">(D17-C17)/C17</f>
        <v>3.9476128552851566E-3</v>
      </c>
      <c r="E20">
        <f t="shared" si="5"/>
        <v>9.9458759309802476E-3</v>
      </c>
      <c r="F20">
        <f t="shared" si="5"/>
        <v>3.4444851593990473E-2</v>
      </c>
      <c r="G20">
        <f t="shared" si="5"/>
        <v>9.0506553312079352E-2</v>
      </c>
      <c r="H20">
        <f t="shared" si="5"/>
        <v>0.17650641546207568</v>
      </c>
      <c r="I20">
        <f t="shared" si="5"/>
        <v>-1.0457290767903365E-2</v>
      </c>
      <c r="J20">
        <f t="shared" si="5"/>
        <v>-8.4507533482142863E-2</v>
      </c>
      <c r="K20">
        <f t="shared" si="5"/>
        <v>-2.7886776639110062E-2</v>
      </c>
    </row>
    <row r="21" spans="1:14" x14ac:dyDescent="0.25">
      <c r="A21" t="s">
        <v>109</v>
      </c>
      <c r="B21">
        <f>B18/B17</f>
        <v>0.3414658434574786</v>
      </c>
      <c r="C21">
        <f t="shared" ref="C21:K21" si="6">C18/C17</f>
        <v>0.33833364295002788</v>
      </c>
      <c r="D21">
        <f t="shared" si="6"/>
        <v>0.36008696858953604</v>
      </c>
      <c r="E21">
        <f t="shared" si="6"/>
        <v>0.33716562843532427</v>
      </c>
      <c r="F21">
        <f t="shared" si="6"/>
        <v>0.34573149132128939</v>
      </c>
      <c r="G21">
        <f t="shared" si="6"/>
        <v>0.29299983758323861</v>
      </c>
      <c r="H21">
        <f t="shared" si="6"/>
        <v>0.27309749784296805</v>
      </c>
      <c r="I21">
        <f t="shared" si="6"/>
        <v>0.252685546875</v>
      </c>
      <c r="J21">
        <f t="shared" si="6"/>
        <v>0.27955350680025903</v>
      </c>
      <c r="K21">
        <f t="shared" si="6"/>
        <v>0.3075988556648509</v>
      </c>
      <c r="L21">
        <f>AVERAGE(B21:D21)</f>
        <v>0.34662881833234754</v>
      </c>
    </row>
    <row r="22" spans="1:14" x14ac:dyDescent="0.25">
      <c r="A22" t="s">
        <v>110</v>
      </c>
      <c r="B22" s="1">
        <v>32700</v>
      </c>
      <c r="C22" s="1">
        <v>30390</v>
      </c>
      <c r="D22" s="1">
        <v>29575</v>
      </c>
      <c r="E22" s="1">
        <v>29815</v>
      </c>
      <c r="F22" s="1">
        <v>29900</v>
      </c>
      <c r="G22" s="1">
        <v>31780</v>
      </c>
      <c r="H22" s="1">
        <v>35940</v>
      </c>
      <c r="I22" s="1">
        <v>36575</v>
      </c>
      <c r="J22" s="1">
        <v>32085</v>
      </c>
      <c r="K22" s="1">
        <v>34575</v>
      </c>
    </row>
    <row r="23" spans="1:14" x14ac:dyDescent="0.25">
      <c r="A23" t="s">
        <v>111</v>
      </c>
      <c r="B23" s="1">
        <v>11390</v>
      </c>
      <c r="C23" s="1">
        <v>11350</v>
      </c>
      <c r="D23" s="1">
        <v>11000</v>
      </c>
      <c r="E23" s="1">
        <v>11600</v>
      </c>
      <c r="F23" s="1">
        <v>11390</v>
      </c>
      <c r="G23" s="1">
        <v>11580</v>
      </c>
      <c r="H23" s="1">
        <v>12705</v>
      </c>
      <c r="I23" s="1">
        <v>13285</v>
      </c>
      <c r="J23" s="1">
        <v>12100</v>
      </c>
      <c r="K23" s="1">
        <v>11940</v>
      </c>
    </row>
    <row r="24" spans="1:14" x14ac:dyDescent="0.25">
      <c r="A24" t="s">
        <v>112</v>
      </c>
      <c r="B24" s="9">
        <v>0.12332641900810862</v>
      </c>
      <c r="C24" s="9">
        <v>0.11447189995479885</v>
      </c>
      <c r="D24" s="9">
        <v>0.11556571517886799</v>
      </c>
      <c r="E24" s="9">
        <v>0.12002818035426731</v>
      </c>
      <c r="F24" s="9">
        <v>0.12106978721681209</v>
      </c>
      <c r="G24" s="9">
        <v>0.12626393055086513</v>
      </c>
      <c r="H24" s="9">
        <v>0.12658049519247702</v>
      </c>
      <c r="I24" s="9">
        <v>0.13026444662095985</v>
      </c>
      <c r="J24" s="9">
        <v>0.12869519874854599</v>
      </c>
      <c r="K24" s="9">
        <v>0.14328636552009946</v>
      </c>
    </row>
    <row r="25" spans="1:14" x14ac:dyDescent="0.25">
      <c r="A25" t="s">
        <v>113</v>
      </c>
      <c r="C25">
        <f>(C22-B22)/B22</f>
        <v>-7.0642201834862389E-2</v>
      </c>
      <c r="D25">
        <f t="shared" ref="D25:K25" si="7">(D22-C22)/C22</f>
        <v>-2.681803224744982E-2</v>
      </c>
      <c r="E25">
        <f t="shared" si="7"/>
        <v>8.1149619611158071E-3</v>
      </c>
      <c r="F25">
        <f t="shared" si="7"/>
        <v>2.8509139694784503E-3</v>
      </c>
      <c r="G25">
        <f t="shared" si="7"/>
        <v>6.2876254180602012E-2</v>
      </c>
      <c r="H25">
        <f t="shared" si="7"/>
        <v>0.13089993706733793</v>
      </c>
      <c r="I25">
        <f t="shared" si="7"/>
        <v>1.766833611574847E-2</v>
      </c>
      <c r="J25">
        <f t="shared" si="7"/>
        <v>-0.12276144907723856</v>
      </c>
      <c r="K25">
        <f t="shared" si="7"/>
        <v>7.760635811126694E-2</v>
      </c>
    </row>
    <row r="26" spans="1:14" x14ac:dyDescent="0.25">
      <c r="A26" t="s">
        <v>114</v>
      </c>
      <c r="B26">
        <f>B23/B22</f>
        <v>0.34831804281345563</v>
      </c>
      <c r="C26">
        <f t="shared" ref="C26:K26" si="8">C23/C22</f>
        <v>0.37347811780190854</v>
      </c>
      <c r="D26">
        <f t="shared" si="8"/>
        <v>0.37193575655114114</v>
      </c>
      <c r="E26">
        <f t="shared" si="8"/>
        <v>0.38906590642294148</v>
      </c>
      <c r="F26">
        <f t="shared" si="8"/>
        <v>0.38093645484949834</v>
      </c>
      <c r="G26">
        <f t="shared" si="8"/>
        <v>0.36438011327879172</v>
      </c>
      <c r="H26">
        <f t="shared" si="8"/>
        <v>0.35350584307178629</v>
      </c>
      <c r="I26">
        <f t="shared" si="8"/>
        <v>0.36322624743677373</v>
      </c>
      <c r="J26">
        <f t="shared" si="8"/>
        <v>0.37712326632382731</v>
      </c>
      <c r="K26">
        <f t="shared" si="8"/>
        <v>0.34533622559652927</v>
      </c>
      <c r="L26">
        <f>AVERAGE(B26:D26)</f>
        <v>0.36457730572216845</v>
      </c>
    </row>
    <row r="27" spans="1:14" x14ac:dyDescent="0.25">
      <c r="A27" t="s">
        <v>115</v>
      </c>
      <c r="B27" s="1">
        <v>20705</v>
      </c>
      <c r="C27" s="1">
        <v>20015</v>
      </c>
      <c r="D27" s="1">
        <v>19310</v>
      </c>
      <c r="E27" s="1">
        <v>16400</v>
      </c>
      <c r="F27" s="1">
        <v>13590</v>
      </c>
      <c r="G27" s="1">
        <v>13835</v>
      </c>
      <c r="H27" s="1">
        <v>17795</v>
      </c>
      <c r="I27" s="1">
        <v>17840</v>
      </c>
      <c r="J27" s="1">
        <v>14365</v>
      </c>
      <c r="K27" s="1">
        <v>13020</v>
      </c>
    </row>
    <row r="28" spans="1:14" x14ac:dyDescent="0.25">
      <c r="A28" t="s">
        <v>116</v>
      </c>
      <c r="B28" s="1">
        <v>5100</v>
      </c>
      <c r="C28" s="1">
        <v>4925</v>
      </c>
      <c r="D28" s="1">
        <v>5035</v>
      </c>
      <c r="E28" s="1">
        <v>4895</v>
      </c>
      <c r="F28" s="1">
        <v>3965</v>
      </c>
      <c r="G28" s="1">
        <v>3775</v>
      </c>
      <c r="H28" s="1">
        <v>3810</v>
      </c>
      <c r="I28" s="1">
        <v>4560</v>
      </c>
      <c r="J28" s="1">
        <v>4165</v>
      </c>
      <c r="K28" s="1">
        <v>3360</v>
      </c>
    </row>
    <row r="29" spans="1:14" x14ac:dyDescent="0.25">
      <c r="A29" t="s">
        <v>117</v>
      </c>
      <c r="B29" s="9">
        <v>7.8087874787855935E-2</v>
      </c>
      <c r="C29" s="9">
        <v>7.5391743257495855E-2</v>
      </c>
      <c r="D29" s="9">
        <v>7.5454740831916847E-2</v>
      </c>
      <c r="E29" s="9">
        <v>6.602254428341385E-2</v>
      </c>
      <c r="F29" s="9">
        <v>5.5028040410584497E-2</v>
      </c>
      <c r="G29" s="9">
        <v>5.4967321559824388E-2</v>
      </c>
      <c r="H29" s="9">
        <v>6.2673898496108202E-2</v>
      </c>
      <c r="I29" s="9">
        <v>6.3538420443415553E-2</v>
      </c>
      <c r="J29" s="9">
        <v>5.7619028518711646E-2</v>
      </c>
      <c r="K29" s="9">
        <v>5.3957728968089515E-2</v>
      </c>
    </row>
    <row r="30" spans="1:14" x14ac:dyDescent="0.25">
      <c r="A30" t="s">
        <v>118</v>
      </c>
      <c r="C30">
        <f>(C27-B27)/B27</f>
        <v>-3.3325283747886986E-2</v>
      </c>
      <c r="D30">
        <f t="shared" ref="D30:K30" si="9">(D27-C27)/C27</f>
        <v>-3.5223582313265049E-2</v>
      </c>
      <c r="E30">
        <f t="shared" si="9"/>
        <v>-0.1506991196271362</v>
      </c>
      <c r="F30">
        <f t="shared" si="9"/>
        <v>-0.17134146341463416</v>
      </c>
      <c r="G30">
        <f t="shared" si="9"/>
        <v>1.8027961736571008E-2</v>
      </c>
      <c r="H30">
        <f t="shared" si="9"/>
        <v>0.2862305746295627</v>
      </c>
      <c r="I30">
        <f t="shared" si="9"/>
        <v>2.5288002247822422E-3</v>
      </c>
      <c r="J30">
        <f t="shared" si="9"/>
        <v>-0.19478699551569506</v>
      </c>
      <c r="K30">
        <f t="shared" si="9"/>
        <v>-9.363035154890359E-2</v>
      </c>
    </row>
    <row r="31" spans="1:14" x14ac:dyDescent="0.25">
      <c r="A31" t="s">
        <v>119</v>
      </c>
      <c r="B31">
        <f>B28/B27</f>
        <v>0.24631731465829509</v>
      </c>
      <c r="C31">
        <f t="shared" ref="C31:K31" si="10">C28/C27</f>
        <v>0.24606545091181614</v>
      </c>
      <c r="D31">
        <f t="shared" si="10"/>
        <v>0.2607457276022786</v>
      </c>
      <c r="E31">
        <f t="shared" si="10"/>
        <v>0.29847560975609755</v>
      </c>
      <c r="F31">
        <f t="shared" si="10"/>
        <v>0.29175864606328183</v>
      </c>
      <c r="G31">
        <f t="shared" si="10"/>
        <v>0.27285869172388871</v>
      </c>
      <c r="H31">
        <f t="shared" si="10"/>
        <v>0.21410508569822984</v>
      </c>
      <c r="I31">
        <f t="shared" si="10"/>
        <v>0.2556053811659193</v>
      </c>
      <c r="J31">
        <f t="shared" si="10"/>
        <v>0.28994082840236685</v>
      </c>
      <c r="K31">
        <f t="shared" si="10"/>
        <v>0.25806451612903225</v>
      </c>
      <c r="L31">
        <f>AVERAGE(B31:D31)</f>
        <v>0.25104283105746328</v>
      </c>
    </row>
    <row r="32" spans="1:14" x14ac:dyDescent="0.25">
      <c r="A32" t="s">
        <v>120</v>
      </c>
      <c r="B32" s="1">
        <v>1855</v>
      </c>
      <c r="C32" s="1">
        <v>1675</v>
      </c>
      <c r="D32" s="1">
        <v>1550</v>
      </c>
      <c r="E32" s="1">
        <v>2320</v>
      </c>
      <c r="F32" s="1">
        <v>2170</v>
      </c>
      <c r="G32" s="1">
        <v>2095</v>
      </c>
      <c r="H32" s="1">
        <v>2440</v>
      </c>
      <c r="I32" s="1">
        <v>2235</v>
      </c>
      <c r="J32" s="1">
        <v>2240</v>
      </c>
      <c r="K32" s="1">
        <v>2365</v>
      </c>
    </row>
    <row r="33" spans="1:12" x14ac:dyDescent="0.25">
      <c r="A33" t="s">
        <v>121</v>
      </c>
      <c r="B33" s="1">
        <v>735</v>
      </c>
      <c r="C33" s="1">
        <v>705</v>
      </c>
      <c r="D33" s="1">
        <v>620</v>
      </c>
      <c r="E33" s="1">
        <v>620</v>
      </c>
      <c r="F33" s="1">
        <v>640</v>
      </c>
      <c r="G33" s="1">
        <v>370</v>
      </c>
      <c r="H33" s="1">
        <v>555</v>
      </c>
      <c r="I33" s="1">
        <v>575</v>
      </c>
      <c r="J33" s="1">
        <v>600</v>
      </c>
      <c r="K33" s="1">
        <v>575</v>
      </c>
    </row>
    <row r="34" spans="1:12" x14ac:dyDescent="0.25">
      <c r="A34" t="s">
        <v>122</v>
      </c>
      <c r="B34" s="9">
        <v>6.9960399773712992E-3</v>
      </c>
      <c r="C34" s="9">
        <v>6.3093265029380745E-3</v>
      </c>
      <c r="D34" s="9">
        <v>6.056698513178204E-3</v>
      </c>
      <c r="E34" s="9">
        <v>9.3397745571658607E-3</v>
      </c>
      <c r="F34" s="9">
        <v>8.7866701759358613E-3</v>
      </c>
      <c r="G34" s="9">
        <v>8.3235662210214747E-3</v>
      </c>
      <c r="H34" s="9">
        <v>8.5936674532455185E-3</v>
      </c>
      <c r="I34" s="9">
        <v>7.9601104086902321E-3</v>
      </c>
      <c r="J34" s="9">
        <v>8.98479804259757E-3</v>
      </c>
      <c r="K34" s="9">
        <v>9.801077496891835E-3</v>
      </c>
    </row>
    <row r="35" spans="1:12" x14ac:dyDescent="0.25">
      <c r="A35" t="s">
        <v>123</v>
      </c>
      <c r="C35">
        <f>(C32-B32)/B32</f>
        <v>-9.7035040431266845E-2</v>
      </c>
      <c r="D35">
        <f t="shared" ref="D35:K35" si="11">(D32-C32)/C32</f>
        <v>-7.4626865671641784E-2</v>
      </c>
      <c r="E35">
        <f t="shared" si="11"/>
        <v>0.49677419354838709</v>
      </c>
      <c r="F35">
        <f t="shared" si="11"/>
        <v>-6.4655172413793108E-2</v>
      </c>
      <c r="G35">
        <f t="shared" si="11"/>
        <v>-3.4562211981566823E-2</v>
      </c>
      <c r="H35">
        <f t="shared" si="11"/>
        <v>0.16467780429594273</v>
      </c>
      <c r="I35">
        <f t="shared" si="11"/>
        <v>-8.4016393442622947E-2</v>
      </c>
      <c r="J35">
        <f t="shared" si="11"/>
        <v>2.2371364653243847E-3</v>
      </c>
      <c r="K35">
        <f t="shared" si="11"/>
        <v>5.5803571428571432E-2</v>
      </c>
    </row>
    <row r="36" spans="1:12" x14ac:dyDescent="0.25">
      <c r="A36" t="s">
        <v>124</v>
      </c>
      <c r="B36">
        <f>B33/B32</f>
        <v>0.39622641509433965</v>
      </c>
      <c r="C36">
        <f t="shared" ref="C36:K36" si="12">C33/C32</f>
        <v>0.42089552238805972</v>
      </c>
      <c r="D36">
        <f t="shared" si="12"/>
        <v>0.4</v>
      </c>
      <c r="E36">
        <f t="shared" si="12"/>
        <v>0.26724137931034481</v>
      </c>
      <c r="F36">
        <f t="shared" si="12"/>
        <v>0.29493087557603687</v>
      </c>
      <c r="G36">
        <f t="shared" si="12"/>
        <v>0.1766109785202864</v>
      </c>
      <c r="H36">
        <f t="shared" si="12"/>
        <v>0.22745901639344263</v>
      </c>
      <c r="I36">
        <f t="shared" si="12"/>
        <v>0.25727069351230425</v>
      </c>
      <c r="J36">
        <f t="shared" si="12"/>
        <v>0.26785714285714285</v>
      </c>
      <c r="K36">
        <f t="shared" si="12"/>
        <v>0.24312896405919662</v>
      </c>
      <c r="L36">
        <f>AVERAGE(B36:D36)</f>
        <v>0.40570731249413311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552A-1EEF-4404-B34E-B316030D2D98}">
  <dimension ref="A1:N38"/>
  <sheetViews>
    <sheetView topLeftCell="A20" workbookViewId="0">
      <selection activeCell="O16" sqref="O16"/>
    </sheetView>
  </sheetViews>
  <sheetFormatPr defaultRowHeight="15" x14ac:dyDescent="0.25"/>
  <cols>
    <col min="1" max="1" width="58.7109375" style="18" customWidth="1"/>
  </cols>
  <sheetData>
    <row r="1" spans="1:14" x14ac:dyDescent="0.2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4" x14ac:dyDescent="0.25">
      <c r="A2" s="18" t="s">
        <v>1</v>
      </c>
      <c r="B2" s="15">
        <v>265150</v>
      </c>
      <c r="C2" s="16">
        <v>265480</v>
      </c>
      <c r="D2" s="16">
        <v>255915</v>
      </c>
      <c r="E2" s="16">
        <v>248400</v>
      </c>
      <c r="F2" s="16">
        <v>246965</v>
      </c>
      <c r="G2" s="16">
        <v>251695</v>
      </c>
      <c r="H2" s="16">
        <v>283930</v>
      </c>
      <c r="I2" s="17">
        <v>280775</v>
      </c>
      <c r="J2" s="17">
        <v>249310</v>
      </c>
      <c r="K2" s="17">
        <v>241300</v>
      </c>
    </row>
    <row r="3" spans="1:14" x14ac:dyDescent="0.25">
      <c r="A3" s="18" t="s">
        <v>125</v>
      </c>
      <c r="B3" s="11">
        <v>1220</v>
      </c>
      <c r="C3" s="11">
        <v>1130</v>
      </c>
      <c r="D3" s="11">
        <v>1090</v>
      </c>
      <c r="E3" s="11">
        <v>1425</v>
      </c>
      <c r="F3" s="11">
        <v>1450</v>
      </c>
      <c r="G3" s="11">
        <v>1520</v>
      </c>
      <c r="H3" s="11">
        <v>1665</v>
      </c>
      <c r="I3" s="11">
        <v>1375</v>
      </c>
      <c r="J3" s="12">
        <v>1305</v>
      </c>
      <c r="K3" s="12">
        <v>1260</v>
      </c>
    </row>
    <row r="4" spans="1:14" x14ac:dyDescent="0.25">
      <c r="A4" t="s">
        <v>126</v>
      </c>
      <c r="B4" s="5">
        <f>B3/B2</f>
        <v>4.601169149537997E-3</v>
      </c>
      <c r="C4" s="5">
        <f>C3/C2</f>
        <v>4.2564411631761338E-3</v>
      </c>
      <c r="D4" s="5">
        <f t="shared" ref="D4:K4" si="0">D3/D2</f>
        <v>4.2592266963640268E-3</v>
      </c>
      <c r="E4" s="5">
        <f t="shared" si="0"/>
        <v>5.736714975845411E-3</v>
      </c>
      <c r="F4" s="5">
        <f t="shared" si="0"/>
        <v>5.8712773065009213E-3</v>
      </c>
      <c r="G4" s="5">
        <f t="shared" si="0"/>
        <v>6.039055205705318E-3</v>
      </c>
      <c r="H4" s="5">
        <f t="shared" si="0"/>
        <v>5.8641214383826998E-3</v>
      </c>
      <c r="I4" s="5">
        <f t="shared" si="0"/>
        <v>4.8971596474045058E-3</v>
      </c>
      <c r="J4" s="5">
        <f t="shared" si="0"/>
        <v>5.2344470739240307E-3</v>
      </c>
      <c r="K4" s="5">
        <f t="shared" si="0"/>
        <v>5.2217157065893079E-3</v>
      </c>
      <c r="N4" s="3"/>
    </row>
    <row r="5" spans="1:14" x14ac:dyDescent="0.25">
      <c r="A5" t="s">
        <v>127</v>
      </c>
      <c r="B5" s="5"/>
      <c r="C5" s="5">
        <f>(C2-B2)/B2</f>
        <v>1.2445785404488026E-3</v>
      </c>
      <c r="D5" s="5">
        <f t="shared" ref="D5:K5" si="1">(D2-C2)/C2</f>
        <v>-3.6029079403344884E-2</v>
      </c>
      <c r="E5" s="5">
        <f t="shared" si="1"/>
        <v>-2.9365218920344646E-2</v>
      </c>
      <c r="F5" s="5">
        <f t="shared" si="1"/>
        <v>-5.7769726247987119E-3</v>
      </c>
      <c r="G5" s="5">
        <f t="shared" si="1"/>
        <v>1.9152511489482316E-2</v>
      </c>
      <c r="H5" s="5">
        <f t="shared" si="1"/>
        <v>0.12807167404994141</v>
      </c>
      <c r="I5" s="5">
        <f t="shared" si="1"/>
        <v>-1.1111893776635086E-2</v>
      </c>
      <c r="J5" s="5">
        <f t="shared" si="1"/>
        <v>-0.11206482058587837</v>
      </c>
      <c r="K5" s="5">
        <f t="shared" si="1"/>
        <v>-3.212867514339577E-2</v>
      </c>
      <c r="N5" s="3"/>
    </row>
    <row r="6" spans="1:14" x14ac:dyDescent="0.25">
      <c r="A6" s="18" t="s">
        <v>128</v>
      </c>
      <c r="B6" s="11">
        <v>8855</v>
      </c>
      <c r="C6" s="11">
        <v>7630</v>
      </c>
      <c r="D6" s="11">
        <v>5590</v>
      </c>
      <c r="E6" s="11">
        <v>3255</v>
      </c>
      <c r="F6" s="11">
        <v>2940</v>
      </c>
      <c r="G6" s="11">
        <v>2920</v>
      </c>
      <c r="H6" s="11">
        <v>5115</v>
      </c>
      <c r="I6" s="11">
        <v>7290</v>
      </c>
      <c r="J6" s="12">
        <v>4990</v>
      </c>
      <c r="K6" s="12">
        <v>5125</v>
      </c>
    </row>
    <row r="7" spans="1:14" x14ac:dyDescent="0.25">
      <c r="A7" t="s">
        <v>129</v>
      </c>
      <c r="B7" s="5">
        <f>B6/B2</f>
        <v>3.3396190835376205E-2</v>
      </c>
      <c r="C7" s="5">
        <f t="shared" ref="C7:K7" si="2">C6/C2</f>
        <v>2.8740394756667169E-2</v>
      </c>
      <c r="D7" s="5">
        <f t="shared" si="2"/>
        <v>2.1843190121720101E-2</v>
      </c>
      <c r="E7" s="5">
        <f t="shared" si="2"/>
        <v>1.3103864734299517E-2</v>
      </c>
      <c r="F7" s="5">
        <f t="shared" si="2"/>
        <v>1.1904520883526006E-2</v>
      </c>
      <c r="G7" s="5">
        <f t="shared" si="2"/>
        <v>1.1601342895170742E-2</v>
      </c>
      <c r="H7" s="5">
        <f t="shared" si="2"/>
        <v>1.8015003698094601E-2</v>
      </c>
      <c r="I7" s="5">
        <f t="shared" si="2"/>
        <v>2.5963850057875524E-2</v>
      </c>
      <c r="J7" s="5">
        <f t="shared" si="2"/>
        <v>2.0015242068107977E-2</v>
      </c>
      <c r="K7" s="5">
        <f t="shared" si="2"/>
        <v>2.1239121425611272E-2</v>
      </c>
      <c r="N7" s="3"/>
    </row>
    <row r="8" spans="1:14" x14ac:dyDescent="0.25">
      <c r="A8" t="s">
        <v>130</v>
      </c>
      <c r="B8" s="5"/>
      <c r="C8" s="5">
        <f>(C6-B6)/B6</f>
        <v>-0.13833992094861661</v>
      </c>
      <c r="D8" s="5">
        <f t="shared" ref="D8:K8" si="3">(D6-C6)/C6</f>
        <v>-0.26736566186107469</v>
      </c>
      <c r="E8" s="5">
        <f t="shared" si="3"/>
        <v>-0.41771019677996424</v>
      </c>
      <c r="F8" s="5">
        <f t="shared" si="3"/>
        <v>-9.6774193548387094E-2</v>
      </c>
      <c r="G8" s="5">
        <f t="shared" si="3"/>
        <v>-6.8027210884353739E-3</v>
      </c>
      <c r="H8" s="5">
        <f t="shared" si="3"/>
        <v>0.75171232876712324</v>
      </c>
      <c r="I8" s="5">
        <f t="shared" si="3"/>
        <v>0.42521994134897362</v>
      </c>
      <c r="J8" s="5">
        <f t="shared" si="3"/>
        <v>-0.31550068587105623</v>
      </c>
      <c r="K8" s="5">
        <f t="shared" si="3"/>
        <v>2.7054108216432865E-2</v>
      </c>
      <c r="N8" s="3"/>
    </row>
    <row r="9" spans="1:14" x14ac:dyDescent="0.25">
      <c r="A9" s="18" t="s">
        <v>131</v>
      </c>
      <c r="B9" s="13">
        <v>45710</v>
      </c>
      <c r="C9" s="13">
        <v>46485</v>
      </c>
      <c r="D9" s="13">
        <v>44280</v>
      </c>
      <c r="E9" s="13">
        <v>42440</v>
      </c>
      <c r="F9" s="13">
        <v>42010</v>
      </c>
      <c r="G9" s="13">
        <v>42420</v>
      </c>
      <c r="H9" s="13">
        <v>49180</v>
      </c>
      <c r="I9" s="13">
        <v>53385</v>
      </c>
      <c r="J9" s="14">
        <v>46425</v>
      </c>
      <c r="K9" s="14">
        <v>43170</v>
      </c>
    </row>
    <row r="10" spans="1:14" x14ac:dyDescent="0.25">
      <c r="A10" t="s">
        <v>132</v>
      </c>
      <c r="B10" s="5">
        <f>B9/B2</f>
        <v>0.17239298510277201</v>
      </c>
      <c r="C10" s="5">
        <f t="shared" ref="C10:K10" si="4">C9/C2</f>
        <v>0.17509793581437397</v>
      </c>
      <c r="D10" s="5">
        <f t="shared" si="4"/>
        <v>0.17302620010550379</v>
      </c>
      <c r="E10" s="5">
        <f t="shared" si="4"/>
        <v>0.17085346215780997</v>
      </c>
      <c r="F10" s="5">
        <f t="shared" si="4"/>
        <v>0.17010507561800256</v>
      </c>
      <c r="G10" s="5">
        <f t="shared" si="4"/>
        <v>0.16853731699080235</v>
      </c>
      <c r="H10" s="5">
        <f t="shared" si="4"/>
        <v>0.17321170711090761</v>
      </c>
      <c r="I10" s="5">
        <f t="shared" si="4"/>
        <v>0.19013444929213782</v>
      </c>
      <c r="J10" s="5">
        <f t="shared" si="4"/>
        <v>0.18621395050338935</v>
      </c>
      <c r="K10" s="5">
        <f t="shared" si="4"/>
        <v>0.1789059262329051</v>
      </c>
      <c r="N10" s="3"/>
    </row>
    <row r="11" spans="1:14" x14ac:dyDescent="0.25">
      <c r="A11" t="s">
        <v>133</v>
      </c>
      <c r="B11" s="5"/>
      <c r="C11" s="5">
        <f t="shared" ref="C11:K11" si="5">(C9-B9)/B9</f>
        <v>1.6954714504484797E-2</v>
      </c>
      <c r="D11" s="5">
        <f t="shared" si="5"/>
        <v>-4.7434656340755083E-2</v>
      </c>
      <c r="E11" s="5">
        <f t="shared" si="5"/>
        <v>-4.1553748870822041E-2</v>
      </c>
      <c r="F11" s="5">
        <f t="shared" si="5"/>
        <v>-1.0131950989632422E-2</v>
      </c>
      <c r="G11" s="5">
        <f t="shared" si="5"/>
        <v>9.7595810521304456E-3</v>
      </c>
      <c r="H11" s="5">
        <f t="shared" si="5"/>
        <v>0.15935879302215936</v>
      </c>
      <c r="I11" s="5">
        <f t="shared" si="5"/>
        <v>8.5502236681577873E-2</v>
      </c>
      <c r="J11" s="5">
        <f t="shared" si="5"/>
        <v>-0.13037370047766225</v>
      </c>
      <c r="K11" s="5">
        <f t="shared" si="5"/>
        <v>-7.0113085621970925E-2</v>
      </c>
      <c r="N11" s="3"/>
    </row>
    <row r="12" spans="1:14" x14ac:dyDescent="0.25">
      <c r="A12" s="18" t="s">
        <v>134</v>
      </c>
      <c r="B12" s="13">
        <v>23490</v>
      </c>
      <c r="C12" s="13">
        <v>25470</v>
      </c>
      <c r="D12" s="13">
        <v>27950</v>
      </c>
      <c r="E12" s="13">
        <v>30660</v>
      </c>
      <c r="F12" s="13">
        <v>30535</v>
      </c>
      <c r="G12" s="13">
        <v>36760</v>
      </c>
      <c r="H12" s="13">
        <v>48315</v>
      </c>
      <c r="I12" s="13">
        <v>51445</v>
      </c>
      <c r="J12" s="14">
        <v>44965</v>
      </c>
      <c r="K12" s="14">
        <v>41165</v>
      </c>
    </row>
    <row r="13" spans="1:14" x14ac:dyDescent="0.25">
      <c r="A13" s="18" t="s">
        <v>135</v>
      </c>
      <c r="B13">
        <f>B12/B2</f>
        <v>8.8591363379219315E-2</v>
      </c>
      <c r="C13">
        <f t="shared" ref="C13:K13" si="6">C12/C2</f>
        <v>9.5939430465571796E-2</v>
      </c>
      <c r="D13">
        <f t="shared" si="6"/>
        <v>0.10921595060860051</v>
      </c>
      <c r="E13">
        <f t="shared" si="6"/>
        <v>0.12342995169082126</v>
      </c>
      <c r="F13">
        <f t="shared" si="6"/>
        <v>0.12364100176138319</v>
      </c>
      <c r="G13">
        <f t="shared" si="6"/>
        <v>0.14604978247482073</v>
      </c>
      <c r="H13">
        <f t="shared" si="6"/>
        <v>0.17016518155883492</v>
      </c>
      <c r="I13">
        <f t="shared" si="6"/>
        <v>0.18322500222598165</v>
      </c>
      <c r="J13">
        <f t="shared" si="6"/>
        <v>0.180357787493482</v>
      </c>
      <c r="K13">
        <f t="shared" si="6"/>
        <v>0.17059676750932448</v>
      </c>
    </row>
    <row r="14" spans="1:14" x14ac:dyDescent="0.25">
      <c r="A14" s="18" t="s">
        <v>136</v>
      </c>
      <c r="C14">
        <f>(C12-B12)/B12</f>
        <v>8.4291187739463605E-2</v>
      </c>
      <c r="D14">
        <f t="shared" ref="D14:K14" si="7">(D12-C12)/C12</f>
        <v>9.7369454259913626E-2</v>
      </c>
      <c r="E14">
        <f t="shared" si="7"/>
        <v>9.6958855098389987E-2</v>
      </c>
      <c r="F14">
        <f t="shared" si="7"/>
        <v>-4.0769732550554466E-3</v>
      </c>
      <c r="G14">
        <f t="shared" si="7"/>
        <v>0.20386441788112003</v>
      </c>
      <c r="H14">
        <f t="shared" si="7"/>
        <v>0.31433623503808489</v>
      </c>
      <c r="I14">
        <f t="shared" si="7"/>
        <v>6.478319362516817E-2</v>
      </c>
      <c r="J14">
        <f t="shared" si="7"/>
        <v>-0.12595976285353289</v>
      </c>
      <c r="K14">
        <f t="shared" si="7"/>
        <v>-8.4510174580229067E-2</v>
      </c>
    </row>
    <row r="15" spans="1:14" x14ac:dyDescent="0.25">
      <c r="A15" s="18" t="s">
        <v>137</v>
      </c>
      <c r="B15" s="13">
        <v>27690</v>
      </c>
      <c r="C15" s="13">
        <v>26160</v>
      </c>
      <c r="D15" s="13">
        <v>22700</v>
      </c>
      <c r="E15" s="13">
        <v>19705</v>
      </c>
      <c r="F15" s="13">
        <v>20425</v>
      </c>
      <c r="G15" s="13">
        <v>22730</v>
      </c>
      <c r="H15" s="13">
        <v>28380</v>
      </c>
      <c r="I15" s="13">
        <v>28805</v>
      </c>
      <c r="J15" s="14">
        <v>20640</v>
      </c>
      <c r="K15" s="14">
        <v>17905</v>
      </c>
    </row>
    <row r="16" spans="1:14" ht="30" x14ac:dyDescent="0.25">
      <c r="A16" s="18" t="s">
        <v>138</v>
      </c>
      <c r="B16">
        <f>B15/B2</f>
        <v>0.10443145389402225</v>
      </c>
      <c r="C16">
        <f t="shared" ref="C16:K16" si="8">C15/C2</f>
        <v>9.8538496308573156E-2</v>
      </c>
      <c r="D16">
        <f t="shared" si="8"/>
        <v>8.8701326612351764E-2</v>
      </c>
      <c r="E16">
        <f t="shared" si="8"/>
        <v>7.9327697262479874E-2</v>
      </c>
      <c r="F16">
        <f t="shared" si="8"/>
        <v>8.2704026886400911E-2</v>
      </c>
      <c r="G16">
        <f t="shared" si="8"/>
        <v>9.0307713701106504E-2</v>
      </c>
      <c r="H16">
        <f t="shared" si="8"/>
        <v>9.9954214066847458E-2</v>
      </c>
      <c r="I16">
        <f t="shared" si="8"/>
        <v>0.10259104264980856</v>
      </c>
      <c r="J16">
        <f t="shared" si="8"/>
        <v>8.2788496249649027E-2</v>
      </c>
      <c r="K16">
        <f t="shared" si="8"/>
        <v>7.4202237878159966E-2</v>
      </c>
    </row>
    <row r="17" spans="1:11" ht="30" x14ac:dyDescent="0.25">
      <c r="A17" s="18" t="s">
        <v>139</v>
      </c>
      <c r="C17">
        <f>(C15-B15)/B15</f>
        <v>-5.5254604550379199E-2</v>
      </c>
      <c r="D17">
        <f t="shared" ref="D17:K17" si="9">(D15-C15)/C15</f>
        <v>-0.13226299694189603</v>
      </c>
      <c r="E17">
        <f t="shared" si="9"/>
        <v>-0.13193832599118943</v>
      </c>
      <c r="F17">
        <f t="shared" si="9"/>
        <v>3.6538949505201729E-2</v>
      </c>
      <c r="G17">
        <f t="shared" si="9"/>
        <v>0.11285189718482252</v>
      </c>
      <c r="H17">
        <f t="shared" si="9"/>
        <v>0.24857017157941047</v>
      </c>
      <c r="I17">
        <f t="shared" si="9"/>
        <v>1.4975334742776604E-2</v>
      </c>
      <c r="J17">
        <f t="shared" si="9"/>
        <v>-0.28345773303245964</v>
      </c>
      <c r="K17">
        <f t="shared" si="9"/>
        <v>-0.13250968992248063</v>
      </c>
    </row>
    <row r="18" spans="1:11" x14ac:dyDescent="0.25">
      <c r="A18" s="18" t="s">
        <v>140</v>
      </c>
      <c r="B18" s="11">
        <v>14925</v>
      </c>
      <c r="C18" s="11">
        <v>17315</v>
      </c>
      <c r="D18" s="11">
        <v>15345</v>
      </c>
      <c r="E18" s="11">
        <v>11710</v>
      </c>
      <c r="F18" s="11">
        <v>10110</v>
      </c>
      <c r="G18" s="11">
        <v>10800</v>
      </c>
      <c r="H18" s="11">
        <v>12055</v>
      </c>
      <c r="I18" s="11">
        <v>11850</v>
      </c>
      <c r="J18" s="12">
        <v>11530</v>
      </c>
      <c r="K18" s="12">
        <v>11360</v>
      </c>
    </row>
    <row r="19" spans="1:11" x14ac:dyDescent="0.25">
      <c r="A19" s="18" t="s">
        <v>141</v>
      </c>
      <c r="B19">
        <f>B18/B2</f>
        <v>5.6288893079389023E-2</v>
      </c>
      <c r="C19">
        <f t="shared" ref="C19:K19" si="10">C18/C2</f>
        <v>6.5221485610968813E-2</v>
      </c>
      <c r="D19">
        <f t="shared" si="10"/>
        <v>5.9961315280464215E-2</v>
      </c>
      <c r="E19">
        <f t="shared" si="10"/>
        <v>4.7141706924315623E-2</v>
      </c>
      <c r="F19">
        <f t="shared" si="10"/>
        <v>4.0936974874982282E-2</v>
      </c>
      <c r="G19">
        <f t="shared" si="10"/>
        <v>4.2909076461590416E-2</v>
      </c>
      <c r="H19">
        <f t="shared" si="10"/>
        <v>4.2457648011833903E-2</v>
      </c>
      <c r="I19">
        <f t="shared" si="10"/>
        <v>4.2204612233995194E-2</v>
      </c>
      <c r="J19">
        <f t="shared" si="10"/>
        <v>4.6247643496049096E-2</v>
      </c>
      <c r="K19">
        <f t="shared" si="10"/>
        <v>4.7078325735598843E-2</v>
      </c>
    </row>
    <row r="20" spans="1:11" x14ac:dyDescent="0.25">
      <c r="A20" s="18" t="s">
        <v>142</v>
      </c>
      <c r="C20">
        <f>(C18-B18)/B18</f>
        <v>0.16013400335008376</v>
      </c>
      <c r="D20">
        <f t="shared" ref="D20:K20" si="11">(D18-C18)/C18</f>
        <v>-0.11377418423332371</v>
      </c>
      <c r="E20">
        <f t="shared" si="11"/>
        <v>-0.23688497882046269</v>
      </c>
      <c r="F20">
        <f t="shared" si="11"/>
        <v>-0.13663535439795046</v>
      </c>
      <c r="G20">
        <f t="shared" si="11"/>
        <v>6.8249258160237386E-2</v>
      </c>
      <c r="H20">
        <f t="shared" si="11"/>
        <v>0.1162037037037037</v>
      </c>
      <c r="I20">
        <f t="shared" si="11"/>
        <v>-1.7005391953546247E-2</v>
      </c>
      <c r="J20">
        <f t="shared" si="11"/>
        <v>-2.7004219409282701E-2</v>
      </c>
      <c r="K20">
        <f t="shared" si="11"/>
        <v>-1.4744145706851692E-2</v>
      </c>
    </row>
    <row r="21" spans="1:11" x14ac:dyDescent="0.25">
      <c r="A21" s="18" t="s">
        <v>143</v>
      </c>
      <c r="B21" s="11">
        <v>7270</v>
      </c>
      <c r="C21" s="11">
        <v>7105</v>
      </c>
      <c r="D21" s="11">
        <v>6515</v>
      </c>
      <c r="E21" s="11">
        <v>6170</v>
      </c>
      <c r="F21" s="11">
        <v>5415</v>
      </c>
      <c r="G21" s="11">
        <v>5000</v>
      </c>
      <c r="H21" s="11">
        <v>4965</v>
      </c>
      <c r="I21" s="11">
        <v>4920</v>
      </c>
      <c r="J21" s="12">
        <v>4845</v>
      </c>
      <c r="K21" s="12">
        <v>4700</v>
      </c>
    </row>
    <row r="22" spans="1:11" x14ac:dyDescent="0.25">
      <c r="A22" s="18" t="s">
        <v>144</v>
      </c>
      <c r="B22">
        <f>B21/B2</f>
        <v>2.7418442391099376E-2</v>
      </c>
      <c r="C22">
        <f t="shared" ref="C22:K22" si="12">C21/C2</f>
        <v>2.6762844658731355E-2</v>
      </c>
      <c r="D22">
        <f t="shared" si="12"/>
        <v>2.5457671492487739E-2</v>
      </c>
      <c r="E22">
        <f t="shared" si="12"/>
        <v>2.4838969404186794E-2</v>
      </c>
      <c r="F22">
        <f t="shared" si="12"/>
        <v>2.1926183872208613E-2</v>
      </c>
      <c r="G22">
        <f t="shared" si="12"/>
        <v>1.9865313176662229E-2</v>
      </c>
      <c r="H22">
        <f t="shared" si="12"/>
        <v>1.7486704469411474E-2</v>
      </c>
      <c r="I22">
        <f t="shared" si="12"/>
        <v>1.7522927611076485E-2</v>
      </c>
      <c r="J22">
        <f t="shared" si="12"/>
        <v>1.9433636837671974E-2</v>
      </c>
      <c r="K22">
        <f t="shared" si="12"/>
        <v>1.9477828429341069E-2</v>
      </c>
    </row>
    <row r="23" spans="1:11" x14ac:dyDescent="0.25">
      <c r="A23" s="18" t="s">
        <v>145</v>
      </c>
      <c r="C23">
        <f>(C21-B21)/B21</f>
        <v>-2.2696011004126548E-2</v>
      </c>
      <c r="D23">
        <f t="shared" ref="D23:K23" si="13">(D21-C21)/C21</f>
        <v>-8.3040112596762847E-2</v>
      </c>
      <c r="E23">
        <f t="shared" si="13"/>
        <v>-5.2954719877206444E-2</v>
      </c>
      <c r="F23">
        <f t="shared" si="13"/>
        <v>-0.12236628849270664</v>
      </c>
      <c r="G23">
        <f t="shared" si="13"/>
        <v>-7.663896583564174E-2</v>
      </c>
      <c r="H23">
        <f t="shared" si="13"/>
        <v>-7.0000000000000001E-3</v>
      </c>
      <c r="I23">
        <f t="shared" si="13"/>
        <v>-9.0634441087613302E-3</v>
      </c>
      <c r="J23">
        <f t="shared" si="13"/>
        <v>-1.524390243902439E-2</v>
      </c>
      <c r="K23">
        <f t="shared" si="13"/>
        <v>-2.9927760577915376E-2</v>
      </c>
    </row>
    <row r="24" spans="1:11" x14ac:dyDescent="0.25">
      <c r="A24" s="18" t="s">
        <v>146</v>
      </c>
      <c r="B24" s="11">
        <v>48110</v>
      </c>
      <c r="C24" s="11">
        <v>46080</v>
      </c>
      <c r="D24" s="11">
        <v>42705</v>
      </c>
      <c r="E24" s="11">
        <v>39905</v>
      </c>
      <c r="F24" s="11">
        <v>38660</v>
      </c>
      <c r="G24" s="11">
        <v>38335</v>
      </c>
      <c r="H24" s="11">
        <v>40570</v>
      </c>
      <c r="I24" s="11">
        <v>36585</v>
      </c>
      <c r="J24" s="12">
        <v>33615</v>
      </c>
      <c r="K24" s="12">
        <v>36210</v>
      </c>
    </row>
    <row r="25" spans="1:11" x14ac:dyDescent="0.25">
      <c r="A25" s="18" t="s">
        <v>147</v>
      </c>
      <c r="B25">
        <f>B24/B2</f>
        <v>0.18144446539694511</v>
      </c>
      <c r="C25">
        <f t="shared" ref="C25:K25" si="14">C24/C2</f>
        <v>0.17357239716739492</v>
      </c>
      <c r="D25">
        <f t="shared" si="14"/>
        <v>0.16687181290662914</v>
      </c>
      <c r="E25">
        <f t="shared" si="14"/>
        <v>0.16064814814814815</v>
      </c>
      <c r="F25">
        <f t="shared" si="14"/>
        <v>0.15654040046160386</v>
      </c>
      <c r="G25">
        <f t="shared" si="14"/>
        <v>0.15230735612546931</v>
      </c>
      <c r="H25">
        <f t="shared" si="14"/>
        <v>0.14288733138449619</v>
      </c>
      <c r="I25">
        <f t="shared" si="14"/>
        <v>0.13030006232748642</v>
      </c>
      <c r="J25">
        <f t="shared" si="14"/>
        <v>0.1348321366972845</v>
      </c>
      <c r="K25">
        <f t="shared" si="14"/>
        <v>0.1500621632822213</v>
      </c>
    </row>
    <row r="26" spans="1:11" x14ac:dyDescent="0.25">
      <c r="A26" s="18" t="s">
        <v>148</v>
      </c>
      <c r="C26">
        <f>(C24-B24)/B24</f>
        <v>-4.2194969860735815E-2</v>
      </c>
      <c r="D26">
        <f t="shared" ref="D26:K26" si="15">(D24-C24)/C24</f>
        <v>-7.32421875E-2</v>
      </c>
      <c r="E26">
        <f t="shared" si="15"/>
        <v>-6.5566092963353237E-2</v>
      </c>
      <c r="F26">
        <f t="shared" si="15"/>
        <v>-3.1199097857411352E-2</v>
      </c>
      <c r="G26">
        <f t="shared" si="15"/>
        <v>-8.406621831350233E-3</v>
      </c>
      <c r="H26">
        <f t="shared" si="15"/>
        <v>5.8301812964653713E-2</v>
      </c>
      <c r="I26">
        <f t="shared" si="15"/>
        <v>-9.8225289622874051E-2</v>
      </c>
      <c r="J26">
        <f t="shared" si="15"/>
        <v>-8.1180811808118078E-2</v>
      </c>
      <c r="K26">
        <f t="shared" si="15"/>
        <v>7.7197679607318159E-2</v>
      </c>
    </row>
    <row r="27" spans="1:11" x14ac:dyDescent="0.25">
      <c r="A27" s="18" t="s">
        <v>149</v>
      </c>
      <c r="B27" s="11">
        <v>52645</v>
      </c>
      <c r="C27" s="11">
        <v>55920</v>
      </c>
      <c r="D27" s="11">
        <v>59515</v>
      </c>
      <c r="E27" s="11">
        <v>61100</v>
      </c>
      <c r="F27" s="11">
        <v>62460</v>
      </c>
      <c r="G27" s="11">
        <v>59380</v>
      </c>
      <c r="H27" s="11">
        <v>64755</v>
      </c>
      <c r="I27" s="11">
        <v>60295</v>
      </c>
      <c r="J27" s="11">
        <v>55775</v>
      </c>
      <c r="K27" s="11">
        <v>55575</v>
      </c>
    </row>
    <row r="28" spans="1:11" x14ac:dyDescent="0.25">
      <c r="A28" s="18" t="s">
        <v>150</v>
      </c>
      <c r="B28">
        <f>B27/B2</f>
        <v>0.19854799170280973</v>
      </c>
      <c r="C28">
        <f t="shared" ref="C28:K28" si="16">C27/C2</f>
        <v>0.21063733614584904</v>
      </c>
      <c r="D28">
        <f t="shared" si="16"/>
        <v>0.23255768516890374</v>
      </c>
      <c r="E28">
        <f t="shared" si="16"/>
        <v>0.2459742351046699</v>
      </c>
      <c r="F28">
        <f t="shared" si="16"/>
        <v>0.25291033142348107</v>
      </c>
      <c r="G28">
        <f t="shared" si="16"/>
        <v>0.23592045928604063</v>
      </c>
      <c r="H28">
        <f t="shared" si="16"/>
        <v>0.22806677702250555</v>
      </c>
      <c r="I28">
        <f t="shared" si="16"/>
        <v>0.21474490250200337</v>
      </c>
      <c r="J28">
        <f t="shared" si="16"/>
        <v>0.22371746019012476</v>
      </c>
      <c r="K28">
        <f t="shared" si="16"/>
        <v>0.23031496062992127</v>
      </c>
    </row>
    <row r="29" spans="1:11" x14ac:dyDescent="0.25">
      <c r="A29" s="18" t="s">
        <v>151</v>
      </c>
      <c r="C29">
        <f>(C27-B27)/B27</f>
        <v>6.2209136670149115E-2</v>
      </c>
      <c r="D29">
        <f t="shared" ref="D29:K29" si="17">(D27-C27)/C27</f>
        <v>6.4288268955650929E-2</v>
      </c>
      <c r="E29">
        <f t="shared" si="17"/>
        <v>2.6631941527346048E-2</v>
      </c>
      <c r="F29">
        <f t="shared" si="17"/>
        <v>2.2258592471358429E-2</v>
      </c>
      <c r="G29">
        <f t="shared" si="17"/>
        <v>-4.931155939801473E-2</v>
      </c>
      <c r="H29">
        <f t="shared" si="17"/>
        <v>9.0518693162681033E-2</v>
      </c>
      <c r="I29">
        <f t="shared" si="17"/>
        <v>-6.887499034823566E-2</v>
      </c>
      <c r="J29">
        <f t="shared" si="17"/>
        <v>-7.4964756613317848E-2</v>
      </c>
      <c r="K29">
        <f t="shared" si="17"/>
        <v>-3.5858359480053789E-3</v>
      </c>
    </row>
    <row r="30" spans="1:11" x14ac:dyDescent="0.25">
      <c r="A30" s="18" t="s">
        <v>152</v>
      </c>
      <c r="B30" s="11">
        <v>8180</v>
      </c>
      <c r="C30" s="11">
        <v>8170</v>
      </c>
      <c r="D30" s="11">
        <v>7855</v>
      </c>
      <c r="E30" s="11">
        <v>8395</v>
      </c>
      <c r="F30" s="11">
        <v>7580</v>
      </c>
      <c r="G30" s="11">
        <v>6610</v>
      </c>
      <c r="H30" s="11">
        <v>6825</v>
      </c>
      <c r="I30" s="11">
        <v>5970</v>
      </c>
      <c r="J30" s="11">
        <v>5745</v>
      </c>
      <c r="K30" s="11">
        <v>5940</v>
      </c>
    </row>
    <row r="31" spans="1:11" x14ac:dyDescent="0.25">
      <c r="A31" s="18" t="s">
        <v>153</v>
      </c>
      <c r="B31">
        <f>B30/B2</f>
        <v>3.0850462002640015E-2</v>
      </c>
      <c r="C31">
        <f t="shared" ref="C31:K31" si="18">C30/C2</f>
        <v>3.0774446285972579E-2</v>
      </c>
      <c r="D31">
        <f t="shared" si="18"/>
        <v>3.0693785045815995E-2</v>
      </c>
      <c r="E31">
        <f t="shared" si="18"/>
        <v>3.3796296296296297E-2</v>
      </c>
      <c r="F31">
        <f t="shared" si="18"/>
        <v>3.0692608264328954E-2</v>
      </c>
      <c r="G31">
        <f t="shared" si="18"/>
        <v>2.6261944019547467E-2</v>
      </c>
      <c r="H31">
        <f t="shared" si="18"/>
        <v>2.4037614905082237E-2</v>
      </c>
      <c r="I31">
        <f t="shared" si="18"/>
        <v>2.12625767963672E-2</v>
      </c>
      <c r="J31">
        <f t="shared" si="18"/>
        <v>2.3043600336929926E-2</v>
      </c>
      <c r="K31">
        <f t="shared" si="18"/>
        <v>2.4616659759635309E-2</v>
      </c>
    </row>
    <row r="32" spans="1:11" x14ac:dyDescent="0.25">
      <c r="A32" s="18" t="s">
        <v>154</v>
      </c>
      <c r="C32">
        <f>(C30-B30)/B30</f>
        <v>-1.2224938875305623E-3</v>
      </c>
      <c r="D32">
        <f t="shared" ref="D32:K32" si="19">(D30-C30)/C30</f>
        <v>-3.8555691554467565E-2</v>
      </c>
      <c r="E32">
        <f t="shared" si="19"/>
        <v>6.8746021642266078E-2</v>
      </c>
      <c r="F32">
        <f t="shared" si="19"/>
        <v>-9.7081596188207261E-2</v>
      </c>
      <c r="G32">
        <f t="shared" si="19"/>
        <v>-0.12796833773087071</v>
      </c>
      <c r="H32">
        <f t="shared" si="19"/>
        <v>3.2526475037821481E-2</v>
      </c>
      <c r="I32">
        <f t="shared" si="19"/>
        <v>-0.12527472527472527</v>
      </c>
      <c r="J32">
        <f t="shared" si="19"/>
        <v>-3.7688442211055273E-2</v>
      </c>
      <c r="K32">
        <f t="shared" si="19"/>
        <v>3.3942558746736295E-2</v>
      </c>
    </row>
    <row r="33" spans="1:11" x14ac:dyDescent="0.25">
      <c r="A33" s="18" t="s">
        <v>155</v>
      </c>
      <c r="B33" s="11">
        <v>21435</v>
      </c>
      <c r="C33" s="11">
        <v>18815</v>
      </c>
      <c r="D33" s="11">
        <v>17925</v>
      </c>
      <c r="E33" s="11">
        <v>18355</v>
      </c>
      <c r="F33" s="11">
        <v>17485</v>
      </c>
      <c r="G33" s="11">
        <v>17400</v>
      </c>
      <c r="H33" s="11">
        <v>17410</v>
      </c>
      <c r="I33" s="11">
        <v>16395</v>
      </c>
      <c r="J33" s="11">
        <v>15095</v>
      </c>
      <c r="K33" s="11">
        <v>14425</v>
      </c>
    </row>
    <row r="34" spans="1:11" x14ac:dyDescent="0.25">
      <c r="A34" s="18" t="s">
        <v>156</v>
      </c>
      <c r="B34">
        <f>B33/B2</f>
        <v>8.0841033377333588E-2</v>
      </c>
      <c r="C34">
        <f t="shared" ref="C34:K34" si="20">C33/C2</f>
        <v>7.0871628747928281E-2</v>
      </c>
      <c r="D34">
        <f t="shared" si="20"/>
        <v>7.0042787644335039E-2</v>
      </c>
      <c r="E34">
        <f t="shared" si="20"/>
        <v>7.3892914653784225E-2</v>
      </c>
      <c r="F34">
        <f t="shared" si="20"/>
        <v>7.0799506002874907E-2</v>
      </c>
      <c r="G34">
        <f t="shared" si="20"/>
        <v>6.9131289854784561E-2</v>
      </c>
      <c r="H34">
        <f t="shared" si="20"/>
        <v>6.1317930475821507E-2</v>
      </c>
      <c r="I34">
        <f t="shared" si="20"/>
        <v>5.8391950850324996E-2</v>
      </c>
      <c r="J34">
        <f t="shared" si="20"/>
        <v>6.0547110023665314E-2</v>
      </c>
      <c r="K34">
        <f t="shared" si="20"/>
        <v>5.978035640281807E-2</v>
      </c>
    </row>
    <row r="35" spans="1:11" x14ac:dyDescent="0.25">
      <c r="A35" s="18" t="s">
        <v>157</v>
      </c>
      <c r="C35">
        <f>(C33-B33)/B33</f>
        <v>-0.12222999766736646</v>
      </c>
      <c r="D35">
        <f t="shared" ref="D35:K35" si="21">(D33-C33)/C33</f>
        <v>-4.7302684028700505E-2</v>
      </c>
      <c r="E35">
        <f t="shared" si="21"/>
        <v>2.3988842398884241E-2</v>
      </c>
      <c r="F35">
        <f t="shared" si="21"/>
        <v>-4.7398529011168616E-2</v>
      </c>
      <c r="G35">
        <f t="shared" si="21"/>
        <v>-4.8613096940234484E-3</v>
      </c>
      <c r="H35">
        <f t="shared" si="21"/>
        <v>5.7471264367816091E-4</v>
      </c>
      <c r="I35">
        <f t="shared" si="21"/>
        <v>-5.8299827685238371E-2</v>
      </c>
      <c r="J35">
        <f t="shared" si="21"/>
        <v>-7.9292467215614518E-2</v>
      </c>
      <c r="K35">
        <f t="shared" si="21"/>
        <v>-4.4385558131831732E-2</v>
      </c>
    </row>
    <row r="36" spans="1:11" x14ac:dyDescent="0.25">
      <c r="A36" s="18" t="s">
        <v>158</v>
      </c>
      <c r="B36" s="11">
        <v>6160</v>
      </c>
      <c r="C36" s="11">
        <v>6260</v>
      </c>
      <c r="D36" s="11">
        <v>6545</v>
      </c>
      <c r="E36" s="11">
        <v>7945</v>
      </c>
      <c r="F36" s="11">
        <v>8160</v>
      </c>
      <c r="G36" s="11">
        <v>9210</v>
      </c>
      <c r="H36" s="11">
        <v>8980</v>
      </c>
      <c r="I36" s="11">
        <v>7170</v>
      </c>
      <c r="J36" s="11">
        <v>6595</v>
      </c>
      <c r="K36" s="11">
        <v>7215</v>
      </c>
    </row>
    <row r="37" spans="1:11" x14ac:dyDescent="0.25">
      <c r="A37" s="18" t="s">
        <v>159</v>
      </c>
      <c r="B37">
        <f>B36/B2</f>
        <v>2.3232132755044314E-2</v>
      </c>
      <c r="C37">
        <f t="shared" ref="C37:K37" si="22">C36/C2</f>
        <v>2.357993069157752E-2</v>
      </c>
      <c r="D37">
        <f t="shared" si="22"/>
        <v>2.5574897915323448E-2</v>
      </c>
      <c r="E37">
        <f t="shared" si="22"/>
        <v>3.1984702093397745E-2</v>
      </c>
      <c r="F37">
        <f t="shared" si="22"/>
        <v>3.304111918692932E-2</v>
      </c>
      <c r="G37">
        <f t="shared" si="22"/>
        <v>3.6591906871411825E-2</v>
      </c>
      <c r="H37">
        <f t="shared" si="22"/>
        <v>3.162751382382982E-2</v>
      </c>
      <c r="I37">
        <f t="shared" si="22"/>
        <v>2.5536461579556583E-2</v>
      </c>
      <c r="J37">
        <f t="shared" si="22"/>
        <v>2.6453010308451326E-2</v>
      </c>
      <c r="K37">
        <f t="shared" si="22"/>
        <v>2.9900538748445917E-2</v>
      </c>
    </row>
    <row r="38" spans="1:11" x14ac:dyDescent="0.25">
      <c r="A38" s="18" t="s">
        <v>160</v>
      </c>
      <c r="C38">
        <f>(C36-B36)/B36</f>
        <v>1.6233766233766232E-2</v>
      </c>
      <c r="D38">
        <f t="shared" ref="D38:K38" si="23">(D36-C36)/C36</f>
        <v>4.5527156549520768E-2</v>
      </c>
      <c r="E38">
        <f t="shared" si="23"/>
        <v>0.21390374331550802</v>
      </c>
      <c r="F38">
        <f t="shared" si="23"/>
        <v>2.7061044682190057E-2</v>
      </c>
      <c r="G38">
        <f t="shared" si="23"/>
        <v>0.12867647058823528</v>
      </c>
      <c r="H38">
        <f t="shared" si="23"/>
        <v>-2.4972855591748101E-2</v>
      </c>
      <c r="I38">
        <f t="shared" si="23"/>
        <v>-0.20155902004454343</v>
      </c>
      <c r="J38">
        <f t="shared" si="23"/>
        <v>-8.0195258019525803E-2</v>
      </c>
      <c r="K38">
        <f t="shared" si="23"/>
        <v>9.4010614101592116E-2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D8F9-988B-4C70-989D-BA7E18B02598}">
  <dimension ref="A1:N81"/>
  <sheetViews>
    <sheetView tabSelected="1" workbookViewId="0">
      <selection activeCell="M81" sqref="M81"/>
    </sheetView>
  </sheetViews>
  <sheetFormatPr defaultRowHeight="15" x14ac:dyDescent="0.25"/>
  <cols>
    <col min="1" max="1" width="43.7109375" customWidth="1"/>
    <col min="14" max="14" width="21.28515625" customWidth="1"/>
  </cols>
  <sheetData>
    <row r="1" spans="1:14" x14ac:dyDescent="0.25"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4" x14ac:dyDescent="0.25">
      <c r="A2" t="s">
        <v>161</v>
      </c>
      <c r="B2" s="19">
        <v>69525</v>
      </c>
      <c r="C2" s="19">
        <v>69615</v>
      </c>
      <c r="D2" s="19">
        <v>63555</v>
      </c>
      <c r="E2" s="19">
        <v>60190</v>
      </c>
      <c r="F2" s="19">
        <v>60795</v>
      </c>
      <c r="G2" s="19">
        <v>59080</v>
      </c>
      <c r="H2" s="19">
        <v>64275</v>
      </c>
      <c r="I2" s="19">
        <v>65795</v>
      </c>
      <c r="J2" s="19">
        <v>58035</v>
      </c>
      <c r="K2" s="19">
        <v>54745</v>
      </c>
    </row>
    <row r="3" spans="1:14" x14ac:dyDescent="0.25">
      <c r="A3" t="s">
        <v>162</v>
      </c>
      <c r="B3" s="19">
        <v>30620</v>
      </c>
      <c r="C3" s="19">
        <v>31375</v>
      </c>
      <c r="D3" s="19">
        <v>29265</v>
      </c>
      <c r="E3" s="19">
        <v>26845</v>
      </c>
      <c r="F3" s="19">
        <v>26240</v>
      </c>
      <c r="G3" s="19">
        <v>23765</v>
      </c>
      <c r="H3" s="19">
        <v>23505</v>
      </c>
      <c r="I3" s="19">
        <v>23400</v>
      </c>
      <c r="J3" s="19">
        <v>21850</v>
      </c>
      <c r="K3" s="19">
        <v>22440</v>
      </c>
      <c r="N3" s="3"/>
    </row>
    <row r="4" spans="1:14" x14ac:dyDescent="0.25">
      <c r="A4" t="s">
        <v>163</v>
      </c>
      <c r="B4" s="5">
        <v>0.26221006977182726</v>
      </c>
      <c r="C4" s="5">
        <v>0.26222314298628896</v>
      </c>
      <c r="D4" s="5">
        <v>0.24834417677744564</v>
      </c>
      <c r="E4" s="5">
        <v>0.24231078904991948</v>
      </c>
      <c r="F4" s="5">
        <v>0.24616848541291275</v>
      </c>
      <c r="G4" s="5">
        <v>0.23472854049544092</v>
      </c>
      <c r="H4" s="5">
        <v>0.22637621949071954</v>
      </c>
      <c r="I4" s="5">
        <v>0.23433354109162141</v>
      </c>
      <c r="J4" s="5">
        <v>0.23278247964381693</v>
      </c>
      <c r="K4" s="5">
        <v>0.22687525901367592</v>
      </c>
      <c r="N4" s="3"/>
    </row>
    <row r="5" spans="1:14" x14ac:dyDescent="0.25">
      <c r="A5" t="s">
        <v>164</v>
      </c>
      <c r="B5" s="5"/>
      <c r="C5" s="5">
        <f>(C2-B2)/B2</f>
        <v>1.2944983818770227E-3</v>
      </c>
      <c r="D5" s="5">
        <f t="shared" ref="D5:K5" si="0">(D2-C2)/C2</f>
        <v>-8.7050204697263517E-2</v>
      </c>
      <c r="E5" s="5">
        <f t="shared" si="0"/>
        <v>-5.2946267012823539E-2</v>
      </c>
      <c r="F5" s="5">
        <f t="shared" si="0"/>
        <v>1.0051503572021931E-2</v>
      </c>
      <c r="G5" s="5">
        <f t="shared" si="0"/>
        <v>-2.8209556706966035E-2</v>
      </c>
      <c r="H5" s="5">
        <f t="shared" si="0"/>
        <v>8.7931618144888285E-2</v>
      </c>
      <c r="I5" s="5">
        <f t="shared" si="0"/>
        <v>2.3648385842084792E-2</v>
      </c>
      <c r="J5" s="5">
        <f t="shared" si="0"/>
        <v>-0.1179420928641994</v>
      </c>
      <c r="K5" s="5">
        <f t="shared" si="0"/>
        <v>-5.6689928491427587E-2</v>
      </c>
      <c r="N5" s="3"/>
    </row>
    <row r="6" spans="1:14" x14ac:dyDescent="0.25">
      <c r="A6" t="s">
        <v>165</v>
      </c>
      <c r="B6" s="5">
        <f>B3/B2</f>
        <v>0.44041711614527146</v>
      </c>
      <c r="C6" s="5">
        <f t="shared" ref="C6:K6" si="1">C3/C2</f>
        <v>0.45069309775192129</v>
      </c>
      <c r="D6" s="5">
        <f t="shared" si="1"/>
        <v>0.46046731177720085</v>
      </c>
      <c r="E6" s="5">
        <f t="shared" si="1"/>
        <v>0.44600431965442766</v>
      </c>
      <c r="F6" s="5">
        <f t="shared" si="1"/>
        <v>0.43161444197713628</v>
      </c>
      <c r="G6" s="5">
        <f t="shared" si="1"/>
        <v>0.4022511848341232</v>
      </c>
      <c r="H6" s="5">
        <f t="shared" si="1"/>
        <v>0.36569428238039675</v>
      </c>
      <c r="I6" s="5">
        <f t="shared" si="1"/>
        <v>0.35565012538946728</v>
      </c>
      <c r="J6" s="5">
        <f t="shared" si="1"/>
        <v>0.37649694150081847</v>
      </c>
      <c r="K6" s="5">
        <f t="shared" si="1"/>
        <v>0.40990044752945476</v>
      </c>
      <c r="L6" s="20">
        <f>AVERAGE(B6:K6)</f>
        <v>0.41391892689402177</v>
      </c>
      <c r="M6" s="20">
        <f>F6-H6</f>
        <v>6.5920159596739525E-2</v>
      </c>
      <c r="N6" s="3"/>
    </row>
    <row r="7" spans="1:14" x14ac:dyDescent="0.25">
      <c r="A7" t="s">
        <v>166</v>
      </c>
      <c r="B7" s="1">
        <v>18135</v>
      </c>
      <c r="C7" s="1">
        <v>19560</v>
      </c>
      <c r="D7" s="1">
        <v>19640</v>
      </c>
      <c r="E7" s="1">
        <v>18740</v>
      </c>
      <c r="F7" s="1">
        <v>17260</v>
      </c>
      <c r="G7" s="1">
        <v>16760</v>
      </c>
      <c r="H7" s="1">
        <v>19910</v>
      </c>
      <c r="I7" s="1">
        <v>19345</v>
      </c>
      <c r="J7" s="1">
        <v>17040</v>
      </c>
      <c r="K7" s="1">
        <v>16770</v>
      </c>
      <c r="N7" s="3"/>
    </row>
    <row r="8" spans="1:14" x14ac:dyDescent="0.25">
      <c r="A8" t="s">
        <v>167</v>
      </c>
      <c r="B8" s="1">
        <v>8395</v>
      </c>
      <c r="C8" s="1">
        <v>9760</v>
      </c>
      <c r="D8" s="1">
        <v>9090</v>
      </c>
      <c r="E8" s="1">
        <v>9110</v>
      </c>
      <c r="F8" s="1">
        <v>8285</v>
      </c>
      <c r="G8" s="1">
        <v>6430</v>
      </c>
      <c r="H8" s="1">
        <v>7650</v>
      </c>
      <c r="I8" s="1">
        <v>7015</v>
      </c>
      <c r="J8" s="1">
        <v>6805</v>
      </c>
      <c r="K8" s="1">
        <v>6615</v>
      </c>
      <c r="N8" s="3"/>
    </row>
    <row r="9" spans="1:14" x14ac:dyDescent="0.25">
      <c r="A9" t="s">
        <v>168</v>
      </c>
      <c r="B9" s="5">
        <v>6.839524797284556E-2</v>
      </c>
      <c r="C9" s="5">
        <v>7.3677866505951484E-2</v>
      </c>
      <c r="D9" s="5">
        <v>7.6744231483109632E-2</v>
      </c>
      <c r="E9" s="5">
        <v>7.5442834138486306E-2</v>
      </c>
      <c r="F9" s="5">
        <v>6.9888445731176488E-2</v>
      </c>
      <c r="G9" s="5">
        <v>6.6588529768171797E-2</v>
      </c>
      <c r="H9" s="5">
        <v>7.0122917620540279E-2</v>
      </c>
      <c r="I9" s="5">
        <v>6.8898584275665573E-2</v>
      </c>
      <c r="J9" s="5">
        <v>6.834864225261722E-2</v>
      </c>
      <c r="K9" s="5">
        <v>6.9498549523414832E-2</v>
      </c>
      <c r="N9" s="3"/>
    </row>
    <row r="10" spans="1:14" x14ac:dyDescent="0.25">
      <c r="A10" t="s">
        <v>169</v>
      </c>
      <c r="B10" s="5"/>
      <c r="C10" s="5">
        <f>(C7-B7)/B7</f>
        <v>7.8577336641852777E-2</v>
      </c>
      <c r="D10" s="5">
        <f t="shared" ref="D10:K10" si="2">(D7-C7)/C7</f>
        <v>4.0899795501022499E-3</v>
      </c>
      <c r="E10" s="5">
        <f t="shared" si="2"/>
        <v>-4.5824847250509164E-2</v>
      </c>
      <c r="F10" s="5">
        <f t="shared" si="2"/>
        <v>-7.8975453575240134E-2</v>
      </c>
      <c r="G10" s="5">
        <f t="shared" si="2"/>
        <v>-2.8968713789107765E-2</v>
      </c>
      <c r="H10" s="5">
        <f t="shared" si="2"/>
        <v>0.18794749403341288</v>
      </c>
      <c r="I10" s="5">
        <f t="shared" si="2"/>
        <v>-2.8377699648417881E-2</v>
      </c>
      <c r="J10" s="5">
        <f t="shared" si="2"/>
        <v>-0.11915223571982424</v>
      </c>
      <c r="K10" s="5">
        <f t="shared" si="2"/>
        <v>-1.5845070422535211E-2</v>
      </c>
      <c r="N10" s="3"/>
    </row>
    <row r="11" spans="1:14" x14ac:dyDescent="0.25">
      <c r="A11" t="s">
        <v>170</v>
      </c>
      <c r="B11" s="5">
        <f>B8/B7</f>
        <v>0.46291701130410806</v>
      </c>
      <c r="C11" s="5">
        <f t="shared" ref="C11:K11" si="3">C8/C7</f>
        <v>0.49897750511247446</v>
      </c>
      <c r="D11" s="5">
        <f t="shared" si="3"/>
        <v>0.46283095723014256</v>
      </c>
      <c r="E11" s="5">
        <f t="shared" si="3"/>
        <v>0.48612593383137676</v>
      </c>
      <c r="F11" s="5">
        <f t="shared" si="3"/>
        <v>0.48001158748551565</v>
      </c>
      <c r="G11" s="5">
        <f t="shared" si="3"/>
        <v>0.38365155131264916</v>
      </c>
      <c r="H11" s="5">
        <f t="shared" si="3"/>
        <v>0.38422903063787039</v>
      </c>
      <c r="I11" s="5">
        <f t="shared" si="3"/>
        <v>0.36262600155078833</v>
      </c>
      <c r="J11" s="5">
        <f t="shared" si="3"/>
        <v>0.39935446009389669</v>
      </c>
      <c r="K11" s="5">
        <f t="shared" si="3"/>
        <v>0.39445438282647582</v>
      </c>
      <c r="L11" s="20">
        <f>AVERAGE(B11:K11)</f>
        <v>0.43151784213852978</v>
      </c>
      <c r="M11" s="20">
        <f>F11-H11</f>
        <v>9.578255684764525E-2</v>
      </c>
      <c r="N11" s="3"/>
    </row>
    <row r="12" spans="1:14" x14ac:dyDescent="0.25">
      <c r="A12" t="s">
        <v>171</v>
      </c>
      <c r="B12" s="1">
        <v>29750</v>
      </c>
      <c r="C12" s="1">
        <v>30615</v>
      </c>
      <c r="D12" s="1">
        <v>29420</v>
      </c>
      <c r="E12" s="1">
        <v>26910</v>
      </c>
      <c r="F12" s="1">
        <v>25190</v>
      </c>
      <c r="G12" s="1">
        <v>25170</v>
      </c>
      <c r="H12" s="1">
        <v>29305</v>
      </c>
      <c r="I12" s="1">
        <v>28730</v>
      </c>
      <c r="J12" s="1">
        <v>24925</v>
      </c>
      <c r="K12" s="1">
        <v>22945</v>
      </c>
      <c r="N12" s="3"/>
    </row>
    <row r="13" spans="1:14" x14ac:dyDescent="0.25">
      <c r="A13" t="s">
        <v>172</v>
      </c>
      <c r="B13" s="1">
        <v>11595</v>
      </c>
      <c r="C13" s="1">
        <v>13030</v>
      </c>
      <c r="D13" s="1">
        <v>13660</v>
      </c>
      <c r="E13" s="1">
        <v>12005</v>
      </c>
      <c r="F13" s="1">
        <v>10890</v>
      </c>
      <c r="G13" s="1">
        <v>9340</v>
      </c>
      <c r="H13" s="1">
        <v>10380</v>
      </c>
      <c r="I13" s="1">
        <v>9775</v>
      </c>
      <c r="J13" s="1">
        <v>9235</v>
      </c>
      <c r="K13" s="1">
        <v>9295</v>
      </c>
      <c r="N13" s="3"/>
    </row>
    <row r="14" spans="1:14" x14ac:dyDescent="0.25">
      <c r="A14" t="s">
        <v>173</v>
      </c>
      <c r="B14" s="5">
        <v>0.11220064114652084</v>
      </c>
      <c r="C14" s="5">
        <v>0.11531942142534278</v>
      </c>
      <c r="D14" s="5">
        <v>0.11496004532755016</v>
      </c>
      <c r="E14" s="5">
        <v>0.10833333333333334</v>
      </c>
      <c r="F14" s="5">
        <v>0.10199825886259187</v>
      </c>
      <c r="G14" s="5">
        <v>0.10000198653131767</v>
      </c>
      <c r="H14" s="5">
        <v>0.1032120593103934</v>
      </c>
      <c r="I14" s="5">
        <v>0.10232392485085923</v>
      </c>
      <c r="J14" s="5">
        <v>9.9975933576671616E-2</v>
      </c>
      <c r="K14" s="5">
        <v>9.5089100704517204E-2</v>
      </c>
      <c r="N14" s="3"/>
    </row>
    <row r="15" spans="1:14" x14ac:dyDescent="0.25">
      <c r="A15" t="s">
        <v>174</v>
      </c>
      <c r="B15" s="5"/>
      <c r="C15" s="5">
        <f>(C12-B12)/B12</f>
        <v>2.9075630252100842E-2</v>
      </c>
      <c r="D15" s="5">
        <f t="shared" ref="D15:K15" si="4">(D12-C12)/C12</f>
        <v>-3.9033153682835213E-2</v>
      </c>
      <c r="E15" s="5">
        <f t="shared" si="4"/>
        <v>-8.5316111488783139E-2</v>
      </c>
      <c r="F15" s="5">
        <f t="shared" si="4"/>
        <v>-6.3916759568933487E-2</v>
      </c>
      <c r="G15" s="5">
        <f t="shared" si="4"/>
        <v>-7.9396585946804284E-4</v>
      </c>
      <c r="H15" s="5">
        <f t="shared" si="4"/>
        <v>0.16428287644020659</v>
      </c>
      <c r="I15" s="5">
        <f t="shared" si="4"/>
        <v>-1.9621225046920321E-2</v>
      </c>
      <c r="J15" s="5">
        <f t="shared" si="4"/>
        <v>-0.13243995823181343</v>
      </c>
      <c r="K15" s="5">
        <f t="shared" si="4"/>
        <v>-7.9438314944834498E-2</v>
      </c>
      <c r="N15" s="3"/>
    </row>
    <row r="16" spans="1:14" x14ac:dyDescent="0.25">
      <c r="A16" t="s">
        <v>175</v>
      </c>
      <c r="B16" s="5">
        <f>B13/B12</f>
        <v>0.38974789915966385</v>
      </c>
      <c r="C16" s="5">
        <f t="shared" ref="C16:K16" si="5">C13/C12</f>
        <v>0.4256083619140944</v>
      </c>
      <c r="D16" s="5">
        <f t="shared" si="5"/>
        <v>0.46430999320190347</v>
      </c>
      <c r="E16" s="5">
        <f t="shared" si="5"/>
        <v>0.44611668524712</v>
      </c>
      <c r="F16" s="5">
        <f t="shared" si="5"/>
        <v>0.43231441048034935</v>
      </c>
      <c r="G16" s="5">
        <f t="shared" si="5"/>
        <v>0.37107667858561783</v>
      </c>
      <c r="H16" s="5">
        <f t="shared" si="5"/>
        <v>0.35420576693397032</v>
      </c>
      <c r="I16" s="5">
        <f t="shared" si="5"/>
        <v>0.34023668639053256</v>
      </c>
      <c r="J16" s="5">
        <f t="shared" si="5"/>
        <v>0.37051153460381142</v>
      </c>
      <c r="K16" s="5">
        <f t="shared" si="5"/>
        <v>0.40509915014164305</v>
      </c>
      <c r="L16" s="20">
        <f>AVERAGE(B16:K16)</f>
        <v>0.39992271666587065</v>
      </c>
      <c r="M16" s="20">
        <f>F16-H16</f>
        <v>7.8108643546379031E-2</v>
      </c>
      <c r="N16" s="3"/>
    </row>
    <row r="17" spans="1:14" x14ac:dyDescent="0.25">
      <c r="A17" t="s">
        <v>176</v>
      </c>
      <c r="B17" s="1">
        <v>3290</v>
      </c>
      <c r="C17" s="1">
        <v>3030</v>
      </c>
      <c r="D17" s="1">
        <v>3395</v>
      </c>
      <c r="E17" s="1">
        <v>3760</v>
      </c>
      <c r="F17" s="1">
        <v>3630</v>
      </c>
      <c r="G17" s="1">
        <v>2965</v>
      </c>
      <c r="H17" s="1">
        <v>3585</v>
      </c>
      <c r="I17" s="1">
        <v>3550</v>
      </c>
      <c r="J17" s="1">
        <v>3060</v>
      </c>
      <c r="K17" s="1">
        <v>3015</v>
      </c>
      <c r="N17" s="3"/>
    </row>
    <row r="18" spans="1:14" x14ac:dyDescent="0.25">
      <c r="A18" t="s">
        <v>177</v>
      </c>
      <c r="B18" s="1">
        <v>1735</v>
      </c>
      <c r="C18" s="1">
        <v>1505</v>
      </c>
      <c r="D18" s="1">
        <v>1605</v>
      </c>
      <c r="E18" s="1">
        <v>2250</v>
      </c>
      <c r="F18" s="1">
        <v>1900</v>
      </c>
      <c r="G18" s="1">
        <v>1140</v>
      </c>
      <c r="H18" s="1">
        <v>1495</v>
      </c>
      <c r="I18" s="1">
        <v>1490</v>
      </c>
      <c r="J18" s="1">
        <v>1335</v>
      </c>
      <c r="K18" s="1">
        <v>1395</v>
      </c>
      <c r="N18" s="3"/>
    </row>
    <row r="19" spans="1:14" x14ac:dyDescent="0.25">
      <c r="A19" t="s">
        <v>178</v>
      </c>
      <c r="B19" s="5">
        <v>1.2408070903262304E-2</v>
      </c>
      <c r="C19" s="5">
        <v>1.1413289136658129E-2</v>
      </c>
      <c r="D19" s="5">
        <v>1.3266123517574195E-2</v>
      </c>
      <c r="E19" s="5">
        <v>1.5136876006441223E-2</v>
      </c>
      <c r="F19" s="5">
        <v>1.4698439050067824E-2</v>
      </c>
      <c r="G19" s="5">
        <v>1.1780130713760703E-2</v>
      </c>
      <c r="H19" s="5">
        <v>1.2626351565526715E-2</v>
      </c>
      <c r="I19" s="5">
        <v>1.2643575816935268E-2</v>
      </c>
      <c r="J19" s="5">
        <v>1.2273875897477037E-2</v>
      </c>
      <c r="K19" s="5">
        <v>1.2494819726481558E-2</v>
      </c>
      <c r="N19" s="3"/>
    </row>
    <row r="20" spans="1:14" x14ac:dyDescent="0.25">
      <c r="A20" t="s">
        <v>179</v>
      </c>
      <c r="B20" s="5"/>
      <c r="C20" s="5">
        <f>(C17-B17)/B17</f>
        <v>-7.9027355623100301E-2</v>
      </c>
      <c r="D20" s="5">
        <f t="shared" ref="D20:K20" si="6">(D17-C17)/C17</f>
        <v>0.12046204620462046</v>
      </c>
      <c r="E20" s="5">
        <f t="shared" si="6"/>
        <v>0.10751104565537556</v>
      </c>
      <c r="F20" s="5">
        <f t="shared" si="6"/>
        <v>-3.4574468085106384E-2</v>
      </c>
      <c r="G20" s="5">
        <f t="shared" si="6"/>
        <v>-0.18319559228650137</v>
      </c>
      <c r="H20" s="5">
        <f t="shared" si="6"/>
        <v>0.20910623946037099</v>
      </c>
      <c r="I20" s="5">
        <f t="shared" si="6"/>
        <v>-9.7629009762900971E-3</v>
      </c>
      <c r="J20" s="5">
        <f t="shared" si="6"/>
        <v>-0.13802816901408452</v>
      </c>
      <c r="K20" s="5">
        <f t="shared" si="6"/>
        <v>-1.4705882352941176E-2</v>
      </c>
      <c r="N20" s="3"/>
    </row>
    <row r="21" spans="1:14" x14ac:dyDescent="0.25">
      <c r="A21" t="s">
        <v>180</v>
      </c>
      <c r="B21" s="5">
        <f>B18/B17</f>
        <v>0.52735562310030393</v>
      </c>
      <c r="C21" s="5">
        <f t="shared" ref="C21:K21" si="7">C18/C17</f>
        <v>0.49669966996699672</v>
      </c>
      <c r="D21" s="5">
        <f t="shared" si="7"/>
        <v>0.47275405007363769</v>
      </c>
      <c r="E21" s="5">
        <f t="shared" si="7"/>
        <v>0.59840425531914898</v>
      </c>
      <c r="F21" s="5">
        <f t="shared" si="7"/>
        <v>0.52341597796143247</v>
      </c>
      <c r="G21" s="5">
        <f t="shared" si="7"/>
        <v>0.38448566610455309</v>
      </c>
      <c r="H21" s="5">
        <f t="shared" si="7"/>
        <v>0.41701534170153415</v>
      </c>
      <c r="I21" s="5">
        <f t="shared" si="7"/>
        <v>0.41971830985915493</v>
      </c>
      <c r="J21" s="5">
        <f t="shared" si="7"/>
        <v>0.43627450980392157</v>
      </c>
      <c r="K21" s="5">
        <f t="shared" si="7"/>
        <v>0.46268656716417911</v>
      </c>
      <c r="L21" s="20">
        <f>AVERAGE(B21:K21)</f>
        <v>0.47388099710548631</v>
      </c>
      <c r="M21" s="20">
        <f>F21-H21</f>
        <v>0.10640063625989832</v>
      </c>
      <c r="N21" s="3"/>
    </row>
    <row r="22" spans="1:14" x14ac:dyDescent="0.25">
      <c r="A22" t="s">
        <v>181</v>
      </c>
      <c r="B22" s="1">
        <v>9420</v>
      </c>
      <c r="C22" s="1">
        <v>9960</v>
      </c>
      <c r="D22" s="1">
        <v>9205</v>
      </c>
      <c r="E22" s="1">
        <v>7760</v>
      </c>
      <c r="F22" s="1">
        <v>7320</v>
      </c>
      <c r="G22" s="1">
        <v>6900</v>
      </c>
      <c r="H22" s="1">
        <v>7735</v>
      </c>
      <c r="I22" s="1">
        <v>8055</v>
      </c>
      <c r="J22" s="1">
        <v>6955</v>
      </c>
      <c r="K22" s="1">
        <v>6570</v>
      </c>
    </row>
    <row r="23" spans="1:14" x14ac:dyDescent="0.25">
      <c r="A23" t="s">
        <v>182</v>
      </c>
      <c r="B23" s="1">
        <v>3930</v>
      </c>
      <c r="C23" s="1">
        <v>3880</v>
      </c>
      <c r="D23" s="1">
        <v>4410</v>
      </c>
      <c r="E23" s="1">
        <v>3000</v>
      </c>
      <c r="F23" s="1">
        <v>3010</v>
      </c>
      <c r="G23" s="1">
        <v>2585</v>
      </c>
      <c r="H23" s="1">
        <v>2770</v>
      </c>
      <c r="I23" s="1">
        <v>2720</v>
      </c>
      <c r="J23" s="1">
        <v>2595</v>
      </c>
      <c r="K23" s="1">
        <v>2600</v>
      </c>
    </row>
    <row r="24" spans="1:14" x14ac:dyDescent="0.25">
      <c r="A24" t="s">
        <v>183</v>
      </c>
      <c r="B24" s="5">
        <v>3.5527060154629454E-2</v>
      </c>
      <c r="C24" s="5">
        <v>3.7516950429410875E-2</v>
      </c>
      <c r="D24" s="5">
        <v>3.5968974073422817E-2</v>
      </c>
      <c r="E24" s="5">
        <v>3.1239935587761676E-2</v>
      </c>
      <c r="F24" s="5">
        <v>2.9639827505921892E-2</v>
      </c>
      <c r="G24" s="5">
        <v>2.7414132183793877E-2</v>
      </c>
      <c r="H24" s="5">
        <v>2.7242630225759869E-2</v>
      </c>
      <c r="I24" s="5">
        <v>2.8688451607158758E-2</v>
      </c>
      <c r="J24" s="5">
        <v>2.7896995708154508E-2</v>
      </c>
      <c r="K24" s="5">
        <v>2.7227517612929963E-2</v>
      </c>
      <c r="N24" s="3"/>
    </row>
    <row r="25" spans="1:14" x14ac:dyDescent="0.25">
      <c r="A25" t="s">
        <v>184</v>
      </c>
      <c r="B25" s="5"/>
      <c r="C25" s="5">
        <f>(C22-B22)/B22</f>
        <v>5.7324840764331211E-2</v>
      </c>
      <c r="D25" s="5">
        <f t="shared" ref="D25:K25" si="8">(D22-C22)/C22</f>
        <v>-7.5803212851405621E-2</v>
      </c>
      <c r="E25" s="5">
        <f t="shared" si="8"/>
        <v>-0.15697990222705052</v>
      </c>
      <c r="F25" s="5">
        <f t="shared" si="8"/>
        <v>-5.6701030927835051E-2</v>
      </c>
      <c r="G25" s="5">
        <f t="shared" si="8"/>
        <v>-5.737704918032787E-2</v>
      </c>
      <c r="H25" s="5">
        <f t="shared" si="8"/>
        <v>0.12101449275362319</v>
      </c>
      <c r="I25" s="5">
        <f t="shared" si="8"/>
        <v>4.1370394311570781E-2</v>
      </c>
      <c r="J25" s="5">
        <f t="shared" si="8"/>
        <v>-0.13656114214773432</v>
      </c>
      <c r="K25" s="5">
        <f t="shared" si="8"/>
        <v>-5.5355859094176854E-2</v>
      </c>
      <c r="N25" s="3"/>
    </row>
    <row r="26" spans="1:14" x14ac:dyDescent="0.25">
      <c r="A26" t="s">
        <v>185</v>
      </c>
      <c r="B26" s="5">
        <f>B23/B22</f>
        <v>0.41719745222929938</v>
      </c>
      <c r="C26" s="5">
        <f t="shared" ref="C26:K26" si="9">C23/C22</f>
        <v>0.38955823293172692</v>
      </c>
      <c r="D26" s="5">
        <f t="shared" si="9"/>
        <v>0.47908745247148288</v>
      </c>
      <c r="E26" s="5">
        <f t="shared" si="9"/>
        <v>0.38659793814432991</v>
      </c>
      <c r="F26" s="5">
        <f t="shared" si="9"/>
        <v>0.41120218579234974</v>
      </c>
      <c r="G26" s="5">
        <f t="shared" si="9"/>
        <v>0.37463768115942031</v>
      </c>
      <c r="H26" s="5">
        <f t="shared" si="9"/>
        <v>0.35811247575953459</v>
      </c>
      <c r="I26" s="5">
        <f t="shared" si="9"/>
        <v>0.33767846058348849</v>
      </c>
      <c r="J26" s="5">
        <f t="shared" si="9"/>
        <v>0.37311286843997127</v>
      </c>
      <c r="K26" s="5">
        <f t="shared" si="9"/>
        <v>0.39573820395738202</v>
      </c>
      <c r="L26" s="20">
        <f>AVERAGE(B26:K26)</f>
        <v>0.39229229514689862</v>
      </c>
      <c r="M26" s="20">
        <f>F26-H26</f>
        <v>5.3089710032815152E-2</v>
      </c>
      <c r="N26" s="3"/>
    </row>
    <row r="27" spans="1:14" x14ac:dyDescent="0.25">
      <c r="A27" t="s">
        <v>186</v>
      </c>
      <c r="B27" s="1">
        <v>12785</v>
      </c>
      <c r="C27" s="1">
        <v>12835</v>
      </c>
      <c r="D27" s="1">
        <v>11670</v>
      </c>
      <c r="E27" s="1">
        <v>12645</v>
      </c>
      <c r="F27" s="1">
        <v>12830</v>
      </c>
      <c r="G27" s="1">
        <v>12765</v>
      </c>
      <c r="H27" s="1">
        <v>15035</v>
      </c>
      <c r="I27" s="1">
        <v>14920</v>
      </c>
      <c r="J27" s="1">
        <v>13130</v>
      </c>
      <c r="K27" s="1">
        <v>11050</v>
      </c>
    </row>
    <row r="28" spans="1:14" x14ac:dyDescent="0.25">
      <c r="A28" t="s">
        <v>187</v>
      </c>
      <c r="B28" s="1">
        <v>6525</v>
      </c>
      <c r="C28" s="1">
        <v>6535</v>
      </c>
      <c r="D28" s="1">
        <v>6225</v>
      </c>
      <c r="E28" s="1">
        <v>6480</v>
      </c>
      <c r="F28" s="1">
        <v>6600</v>
      </c>
      <c r="G28" s="1">
        <v>5530</v>
      </c>
      <c r="H28" s="1">
        <v>6230</v>
      </c>
      <c r="I28" s="1">
        <v>5675</v>
      </c>
      <c r="J28" s="1">
        <v>5200</v>
      </c>
      <c r="K28" s="1">
        <v>4490</v>
      </c>
    </row>
    <row r="29" spans="1:14" x14ac:dyDescent="0.25">
      <c r="A29" t="s">
        <v>188</v>
      </c>
      <c r="B29" s="5">
        <v>4.8217989817084667E-2</v>
      </c>
      <c r="C29" s="5">
        <v>4.8346391441916527E-2</v>
      </c>
      <c r="D29" s="5">
        <v>4.5601078483090085E-2</v>
      </c>
      <c r="E29" s="5">
        <v>5.0905797101449275E-2</v>
      </c>
      <c r="F29" s="5">
        <v>5.1950681270625396E-2</v>
      </c>
      <c r="G29" s="5">
        <v>5.0716144540018673E-2</v>
      </c>
      <c r="H29" s="5">
        <v>5.2953192688338674E-2</v>
      </c>
      <c r="I29" s="5">
        <v>5.3138634137654704E-2</v>
      </c>
      <c r="J29" s="5">
        <v>5.2665356383618786E-2</v>
      </c>
      <c r="K29" s="5">
        <v>4.5793617903025281E-2</v>
      </c>
      <c r="N29" s="3"/>
    </row>
    <row r="30" spans="1:14" x14ac:dyDescent="0.25">
      <c r="A30" t="s">
        <v>189</v>
      </c>
      <c r="B30" s="5"/>
      <c r="C30" s="5">
        <f>(C27-B27)/B27</f>
        <v>3.9108330074305829E-3</v>
      </c>
      <c r="D30" s="5">
        <f t="shared" ref="D30:K30" si="10">(D27-C27)/C27</f>
        <v>-9.0767432800934938E-2</v>
      </c>
      <c r="E30" s="5">
        <f t="shared" si="10"/>
        <v>8.3547557840616973E-2</v>
      </c>
      <c r="F30" s="5">
        <f t="shared" si="10"/>
        <v>1.4630288651640965E-2</v>
      </c>
      <c r="G30" s="5">
        <f t="shared" si="10"/>
        <v>-5.0662509742790338E-3</v>
      </c>
      <c r="H30" s="5">
        <f t="shared" si="10"/>
        <v>0.17783000391696044</v>
      </c>
      <c r="I30" s="5">
        <f t="shared" si="10"/>
        <v>-7.6488194213501833E-3</v>
      </c>
      <c r="J30" s="5">
        <f t="shared" si="10"/>
        <v>-0.11997319034852547</v>
      </c>
      <c r="K30" s="5">
        <f t="shared" si="10"/>
        <v>-0.15841584158415842</v>
      </c>
      <c r="N30" s="3"/>
    </row>
    <row r="31" spans="1:14" x14ac:dyDescent="0.25">
      <c r="A31" t="s">
        <v>190</v>
      </c>
      <c r="B31" s="5">
        <f>B28/B27</f>
        <v>0.51036370746969106</v>
      </c>
      <c r="C31" s="5">
        <f t="shared" ref="C31:K31" si="11">C28/C27</f>
        <v>0.50915465523957926</v>
      </c>
      <c r="D31" s="5">
        <f t="shared" si="11"/>
        <v>0.53341902313624678</v>
      </c>
      <c r="E31" s="5">
        <f t="shared" si="11"/>
        <v>0.51245551601423489</v>
      </c>
      <c r="F31" s="5">
        <f t="shared" si="11"/>
        <v>0.514419329696025</v>
      </c>
      <c r="G31" s="5">
        <f t="shared" si="11"/>
        <v>0.43321582452017232</v>
      </c>
      <c r="H31" s="5">
        <f t="shared" si="11"/>
        <v>0.41436647821749251</v>
      </c>
      <c r="I31" s="5">
        <f t="shared" si="11"/>
        <v>0.38036193029490617</v>
      </c>
      <c r="J31" s="5">
        <f t="shared" si="11"/>
        <v>0.39603960396039606</v>
      </c>
      <c r="K31" s="5">
        <f t="shared" si="11"/>
        <v>0.40633484162895928</v>
      </c>
      <c r="L31" s="20">
        <f>AVERAGE(B31:K31)</f>
        <v>0.46101309101777038</v>
      </c>
      <c r="M31" s="20">
        <f>F31-H31</f>
        <v>0.10005285147853249</v>
      </c>
      <c r="N31" s="3"/>
    </row>
    <row r="32" spans="1:14" x14ac:dyDescent="0.25">
      <c r="A32" t="s">
        <v>191</v>
      </c>
      <c r="B32" s="1">
        <v>3170</v>
      </c>
      <c r="C32" s="1">
        <v>2905</v>
      </c>
      <c r="D32" s="1">
        <v>2785</v>
      </c>
      <c r="E32" s="1">
        <v>2615</v>
      </c>
      <c r="F32" s="1">
        <v>2700</v>
      </c>
      <c r="G32" s="1">
        <v>2475</v>
      </c>
      <c r="H32" s="1">
        <v>2330</v>
      </c>
      <c r="I32" s="1">
        <v>2200</v>
      </c>
      <c r="J32" s="1">
        <v>1905</v>
      </c>
      <c r="K32" s="1">
        <v>1805</v>
      </c>
    </row>
    <row r="33" spans="1:14" x14ac:dyDescent="0.25">
      <c r="A33" t="s">
        <v>192</v>
      </c>
      <c r="B33" s="1">
        <v>1430</v>
      </c>
      <c r="C33" s="1">
        <v>1650</v>
      </c>
      <c r="D33" s="1">
        <v>1265</v>
      </c>
      <c r="E33" s="1">
        <v>1075</v>
      </c>
      <c r="F33" s="1">
        <v>1180</v>
      </c>
      <c r="G33" s="1">
        <v>885</v>
      </c>
      <c r="H33" s="1">
        <v>800</v>
      </c>
      <c r="I33" s="1">
        <v>785</v>
      </c>
      <c r="J33" s="1">
        <v>690</v>
      </c>
      <c r="K33" s="1">
        <v>550</v>
      </c>
    </row>
    <row r="34" spans="1:14" x14ac:dyDescent="0.25">
      <c r="A34" t="s">
        <v>193</v>
      </c>
      <c r="B34" s="5">
        <v>1.1955496888553649E-2</v>
      </c>
      <c r="C34" s="5">
        <v>1.094244387524484E-2</v>
      </c>
      <c r="D34" s="5">
        <v>1.0882519586581482E-2</v>
      </c>
      <c r="E34" s="5">
        <v>1.0527375201288245E-2</v>
      </c>
      <c r="F34" s="5">
        <v>1.0932723260381026E-2</v>
      </c>
      <c r="G34" s="5">
        <v>9.8333300224478035E-3</v>
      </c>
      <c r="H34" s="5">
        <v>8.2062480188778916E-3</v>
      </c>
      <c r="I34" s="5">
        <v>7.8354554358472089E-3</v>
      </c>
      <c r="J34" s="5">
        <v>7.6410894067626646E-3</v>
      </c>
      <c r="K34" s="5">
        <v>7.4803149606299212E-3</v>
      </c>
      <c r="N34" s="3"/>
    </row>
    <row r="35" spans="1:14" x14ac:dyDescent="0.25">
      <c r="A35" t="s">
        <v>194</v>
      </c>
      <c r="B35" s="5"/>
      <c r="C35" s="5">
        <f>(C32-B32)/B32</f>
        <v>-8.3596214511041003E-2</v>
      </c>
      <c r="D35" s="5">
        <f t="shared" ref="D35:K35" si="12">(D32-C32)/C32</f>
        <v>-4.1308089500860588E-2</v>
      </c>
      <c r="E35" s="5">
        <f t="shared" si="12"/>
        <v>-6.1041292639138239E-2</v>
      </c>
      <c r="F35" s="5">
        <f t="shared" si="12"/>
        <v>3.2504780114722756E-2</v>
      </c>
      <c r="G35" s="5">
        <f t="shared" si="12"/>
        <v>-8.3333333333333329E-2</v>
      </c>
      <c r="H35" s="5">
        <f t="shared" si="12"/>
        <v>-5.8585858585858588E-2</v>
      </c>
      <c r="I35" s="5">
        <f t="shared" si="12"/>
        <v>-5.5793991416309016E-2</v>
      </c>
      <c r="J35" s="5">
        <f t="shared" si="12"/>
        <v>-0.13409090909090909</v>
      </c>
      <c r="K35" s="5">
        <f t="shared" si="12"/>
        <v>-5.2493438320209973E-2</v>
      </c>
      <c r="N35" s="3"/>
    </row>
    <row r="36" spans="1:14" x14ac:dyDescent="0.25">
      <c r="A36" t="s">
        <v>195</v>
      </c>
      <c r="B36" s="5">
        <f>B33/B32</f>
        <v>0.45110410094637227</v>
      </c>
      <c r="C36" s="5">
        <f t="shared" ref="C36:K36" si="13">C33/C32</f>
        <v>0.56798623063683307</v>
      </c>
      <c r="D36" s="5">
        <f t="shared" si="13"/>
        <v>0.45421903052064633</v>
      </c>
      <c r="E36" s="5">
        <f t="shared" si="13"/>
        <v>0.41108986615678778</v>
      </c>
      <c r="F36" s="5">
        <f t="shared" si="13"/>
        <v>0.43703703703703706</v>
      </c>
      <c r="G36" s="5">
        <f t="shared" si="13"/>
        <v>0.3575757575757576</v>
      </c>
      <c r="H36" s="5">
        <f t="shared" si="13"/>
        <v>0.34334763948497854</v>
      </c>
      <c r="I36" s="5">
        <f t="shared" si="13"/>
        <v>0.35681818181818181</v>
      </c>
      <c r="J36" s="5">
        <f t="shared" si="13"/>
        <v>0.36220472440944884</v>
      </c>
      <c r="K36" s="5">
        <f t="shared" si="13"/>
        <v>0.3047091412742382</v>
      </c>
      <c r="L36" s="20">
        <f>AVERAGE(B36:K36)</f>
        <v>0.40460917098602811</v>
      </c>
      <c r="M36" s="20">
        <f>F36-H36</f>
        <v>9.3689397552058518E-2</v>
      </c>
      <c r="N36" s="3"/>
    </row>
    <row r="37" spans="1:14" x14ac:dyDescent="0.25">
      <c r="A37" t="s">
        <v>196</v>
      </c>
      <c r="B37" s="1">
        <v>3725</v>
      </c>
      <c r="C37" s="1">
        <v>3460</v>
      </c>
      <c r="D37" s="1">
        <v>3610</v>
      </c>
      <c r="E37" s="1">
        <v>3480</v>
      </c>
      <c r="F37" s="1">
        <v>3705</v>
      </c>
      <c r="G37" s="1">
        <v>3665</v>
      </c>
      <c r="H37" s="1">
        <v>4110</v>
      </c>
      <c r="I37" s="1">
        <v>4050</v>
      </c>
      <c r="J37" s="1">
        <v>3505</v>
      </c>
      <c r="K37" s="1">
        <v>3285</v>
      </c>
    </row>
    <row r="38" spans="1:14" x14ac:dyDescent="0.25">
      <c r="A38" t="s">
        <v>197</v>
      </c>
      <c r="B38" s="1">
        <v>1425</v>
      </c>
      <c r="C38" s="1">
        <v>1295</v>
      </c>
      <c r="D38" s="1">
        <v>1700</v>
      </c>
      <c r="E38" s="1">
        <v>1425</v>
      </c>
      <c r="F38" s="1">
        <v>1425</v>
      </c>
      <c r="G38" s="1">
        <v>1385</v>
      </c>
      <c r="H38" s="1">
        <v>1335</v>
      </c>
      <c r="I38" s="1">
        <v>1445</v>
      </c>
      <c r="J38" s="1">
        <v>1150</v>
      </c>
      <c r="K38" s="1">
        <v>1240</v>
      </c>
    </row>
    <row r="39" spans="1:14" x14ac:dyDescent="0.25">
      <c r="A39" t="s">
        <v>198</v>
      </c>
      <c r="B39" s="5">
        <v>1.4048651706581181E-2</v>
      </c>
      <c r="C39" s="5">
        <v>1.3032996835919844E-2</v>
      </c>
      <c r="D39" s="5">
        <v>1.4106246214563429E-2</v>
      </c>
      <c r="E39" s="5">
        <v>1.4009661835748793E-2</v>
      </c>
      <c r="F39" s="5">
        <v>1.5002125807300629E-2</v>
      </c>
      <c r="G39" s="5">
        <v>1.4561274558493415E-2</v>
      </c>
      <c r="H39" s="5">
        <v>1.4475398865917656E-2</v>
      </c>
      <c r="I39" s="5">
        <v>1.442436114326418E-2</v>
      </c>
      <c r="J39" s="5">
        <v>1.4058802294332358E-2</v>
      </c>
      <c r="K39" s="5">
        <v>1.3613758806464982E-2</v>
      </c>
      <c r="N39" s="3"/>
    </row>
    <row r="40" spans="1:14" x14ac:dyDescent="0.25">
      <c r="A40" t="s">
        <v>199</v>
      </c>
      <c r="B40" s="5"/>
      <c r="C40" s="5">
        <f>(C37-B37)/B37</f>
        <v>-7.1140939597315433E-2</v>
      </c>
      <c r="D40" s="5">
        <f t="shared" ref="D40:K40" si="14">(D37-C37)/C37</f>
        <v>4.3352601156069363E-2</v>
      </c>
      <c r="E40" s="5">
        <f t="shared" si="14"/>
        <v>-3.6011080332409975E-2</v>
      </c>
      <c r="F40" s="5">
        <f t="shared" si="14"/>
        <v>6.4655172413793108E-2</v>
      </c>
      <c r="G40" s="5">
        <f t="shared" si="14"/>
        <v>-1.0796221322537112E-2</v>
      </c>
      <c r="H40" s="5">
        <f t="shared" si="14"/>
        <v>0.12141882673942701</v>
      </c>
      <c r="I40" s="5">
        <f t="shared" si="14"/>
        <v>-1.4598540145985401E-2</v>
      </c>
      <c r="J40" s="5">
        <f t="shared" si="14"/>
        <v>-0.13456790123456791</v>
      </c>
      <c r="K40" s="5">
        <f t="shared" si="14"/>
        <v>-6.2767475035663337E-2</v>
      </c>
      <c r="N40" s="3"/>
    </row>
    <row r="41" spans="1:14" x14ac:dyDescent="0.25">
      <c r="A41" t="s">
        <v>200</v>
      </c>
      <c r="B41" s="5">
        <f>B38/B37</f>
        <v>0.3825503355704698</v>
      </c>
      <c r="C41" s="5">
        <f t="shared" ref="C41:K41" si="15">C38/C37</f>
        <v>0.37427745664739887</v>
      </c>
      <c r="D41" s="5">
        <f t="shared" si="15"/>
        <v>0.47091412742382271</v>
      </c>
      <c r="E41" s="5">
        <f t="shared" si="15"/>
        <v>0.40948275862068967</v>
      </c>
      <c r="F41" s="5">
        <f t="shared" si="15"/>
        <v>0.38461538461538464</v>
      </c>
      <c r="G41" s="5">
        <f t="shared" si="15"/>
        <v>0.37789904502046384</v>
      </c>
      <c r="H41" s="5">
        <f t="shared" si="15"/>
        <v>0.32481751824817517</v>
      </c>
      <c r="I41" s="5">
        <f t="shared" si="15"/>
        <v>0.35679012345679012</v>
      </c>
      <c r="J41" s="5">
        <f t="shared" si="15"/>
        <v>0.32810271041369471</v>
      </c>
      <c r="K41" s="5">
        <f t="shared" si="15"/>
        <v>0.37747336377473362</v>
      </c>
      <c r="L41" s="20">
        <f>AVERAGE(B41:K41)</f>
        <v>0.37869228237916236</v>
      </c>
      <c r="M41" s="20">
        <f>F41-H41</f>
        <v>5.9797866367209462E-2</v>
      </c>
      <c r="N41" s="3"/>
    </row>
    <row r="42" spans="1:14" x14ac:dyDescent="0.25">
      <c r="A42" t="s">
        <v>201</v>
      </c>
      <c r="B42" s="1">
        <v>8130</v>
      </c>
      <c r="C42" s="1">
        <v>7975</v>
      </c>
      <c r="D42" s="1">
        <v>8190</v>
      </c>
      <c r="E42" s="1">
        <v>7670</v>
      </c>
      <c r="F42" s="1">
        <v>7580</v>
      </c>
      <c r="G42" s="1">
        <v>7740</v>
      </c>
      <c r="H42" s="1">
        <v>8985</v>
      </c>
      <c r="I42" s="1">
        <v>9430</v>
      </c>
      <c r="J42" s="1">
        <v>8490</v>
      </c>
      <c r="K42" s="1">
        <v>7965</v>
      </c>
    </row>
    <row r="43" spans="1:14" x14ac:dyDescent="0.25">
      <c r="A43" t="s">
        <v>202</v>
      </c>
      <c r="B43" s="1">
        <v>3920</v>
      </c>
      <c r="C43" s="1">
        <v>3710</v>
      </c>
      <c r="D43" s="1">
        <v>3740</v>
      </c>
      <c r="E43" s="1">
        <v>3540</v>
      </c>
      <c r="F43" s="1">
        <v>3550</v>
      </c>
      <c r="G43" s="1">
        <v>2780</v>
      </c>
      <c r="H43" s="1">
        <v>3130</v>
      </c>
      <c r="I43" s="1">
        <v>3110</v>
      </c>
      <c r="J43" s="1">
        <v>3165</v>
      </c>
      <c r="K43" s="1">
        <v>3075</v>
      </c>
    </row>
    <row r="44" spans="1:14" x14ac:dyDescent="0.25">
      <c r="A44" t="s">
        <v>203</v>
      </c>
      <c r="B44" s="5">
        <v>3.066188949651141E-2</v>
      </c>
      <c r="C44" s="5">
        <v>3.0039927678167846E-2</v>
      </c>
      <c r="D44" s="5">
        <v>3.2002813434148056E-2</v>
      </c>
      <c r="E44" s="5">
        <v>3.0877616747181966E-2</v>
      </c>
      <c r="F44" s="5">
        <v>3.0692608264328954E-2</v>
      </c>
      <c r="G44" s="5">
        <v>3.0751504797473132E-2</v>
      </c>
      <c r="H44" s="5">
        <v>3.1645123798119255E-2</v>
      </c>
      <c r="I44" s="5">
        <v>3.3585611254563261E-2</v>
      </c>
      <c r="J44" s="5">
        <v>3.4053989009666677E-2</v>
      </c>
      <c r="K44" s="5">
        <v>3.3008702859510984E-2</v>
      </c>
      <c r="N44" s="3"/>
    </row>
    <row r="45" spans="1:14" x14ac:dyDescent="0.25">
      <c r="A45" t="s">
        <v>204</v>
      </c>
      <c r="B45" s="5"/>
      <c r="C45" s="5">
        <f>(C42-B42)/B42</f>
        <v>-1.9065190651906518E-2</v>
      </c>
      <c r="D45" s="5">
        <f t="shared" ref="D45:K45" si="16">(D42-C42)/C42</f>
        <v>2.6959247648902823E-2</v>
      </c>
      <c r="E45" s="5">
        <f t="shared" si="16"/>
        <v>-6.3492063492063489E-2</v>
      </c>
      <c r="F45" s="5">
        <f t="shared" si="16"/>
        <v>-1.1734028683181226E-2</v>
      </c>
      <c r="G45" s="5">
        <f t="shared" si="16"/>
        <v>2.1108179419525065E-2</v>
      </c>
      <c r="H45" s="5">
        <f t="shared" si="16"/>
        <v>0.16085271317829458</v>
      </c>
      <c r="I45" s="5">
        <f t="shared" si="16"/>
        <v>4.9526989426822481E-2</v>
      </c>
      <c r="J45" s="5">
        <f t="shared" si="16"/>
        <v>-9.9681866383881226E-2</v>
      </c>
      <c r="K45" s="5">
        <f t="shared" si="16"/>
        <v>-6.1837455830388695E-2</v>
      </c>
      <c r="N45" s="3"/>
    </row>
    <row r="46" spans="1:14" x14ac:dyDescent="0.25">
      <c r="A46" t="s">
        <v>205</v>
      </c>
      <c r="B46" s="5">
        <f>B43/B42</f>
        <v>0.4821648216482165</v>
      </c>
      <c r="C46" s="5">
        <f t="shared" ref="C46:K46" si="17">C43/C42</f>
        <v>0.46520376175548589</v>
      </c>
      <c r="D46" s="5">
        <f t="shared" si="17"/>
        <v>0.45665445665445664</v>
      </c>
      <c r="E46" s="5">
        <f t="shared" si="17"/>
        <v>0.46153846153846156</v>
      </c>
      <c r="F46" s="5">
        <f t="shared" si="17"/>
        <v>0.4683377308707124</v>
      </c>
      <c r="G46" s="5">
        <f t="shared" si="17"/>
        <v>0.35917312661498707</v>
      </c>
      <c r="H46" s="5">
        <f t="shared" si="17"/>
        <v>0.34835837506956036</v>
      </c>
      <c r="I46" s="5">
        <f t="shared" si="17"/>
        <v>0.3297985153764581</v>
      </c>
      <c r="J46" s="5">
        <f t="shared" si="17"/>
        <v>0.37279151943462896</v>
      </c>
      <c r="K46" s="5">
        <f t="shared" si="17"/>
        <v>0.38606403013182672</v>
      </c>
      <c r="L46" s="20">
        <f>AVERAGE(B46:K46)</f>
        <v>0.41300847990947948</v>
      </c>
      <c r="M46" s="20">
        <f>F46-H46</f>
        <v>0.11997935580115204</v>
      </c>
      <c r="N46" s="3"/>
    </row>
    <row r="47" spans="1:14" x14ac:dyDescent="0.25">
      <c r="A47" t="s">
        <v>206</v>
      </c>
      <c r="B47" s="1">
        <v>11300</v>
      </c>
      <c r="C47" s="1">
        <v>10810</v>
      </c>
      <c r="D47" s="1">
        <v>10945</v>
      </c>
      <c r="E47" s="1">
        <v>10930</v>
      </c>
      <c r="F47" s="1">
        <v>11210</v>
      </c>
      <c r="G47" s="1">
        <v>9970</v>
      </c>
      <c r="H47" s="1">
        <v>11880</v>
      </c>
      <c r="I47" s="1">
        <v>11815</v>
      </c>
      <c r="J47" s="1">
        <v>10480</v>
      </c>
      <c r="K47" s="1">
        <v>9430</v>
      </c>
    </row>
    <row r="48" spans="1:14" x14ac:dyDescent="0.25">
      <c r="A48" t="s">
        <v>207</v>
      </c>
      <c r="B48" s="1">
        <v>4930</v>
      </c>
      <c r="C48" s="1">
        <v>4855</v>
      </c>
      <c r="D48" s="1">
        <v>4865</v>
      </c>
      <c r="E48" s="1">
        <v>4690</v>
      </c>
      <c r="F48" s="1">
        <v>4470</v>
      </c>
      <c r="G48" s="1">
        <v>3335</v>
      </c>
      <c r="H48" s="1">
        <v>4395</v>
      </c>
      <c r="I48" s="1">
        <v>3900</v>
      </c>
      <c r="J48" s="1">
        <v>3730</v>
      </c>
      <c r="K48" s="1">
        <v>3445</v>
      </c>
    </row>
    <row r="49" spans="1:14" x14ac:dyDescent="0.25">
      <c r="A49" t="s">
        <v>208</v>
      </c>
      <c r="B49" s="5">
        <v>4.2617386385065056E-2</v>
      </c>
      <c r="C49" s="5">
        <v>4.0718698207021245E-2</v>
      </c>
      <c r="D49" s="5">
        <v>4.2768106597893832E-2</v>
      </c>
      <c r="E49" s="5">
        <v>4.400161030595813E-2</v>
      </c>
      <c r="F49" s="5">
        <v>4.5391047314396776E-2</v>
      </c>
      <c r="G49" s="5">
        <v>3.961143447426449E-2</v>
      </c>
      <c r="H49" s="5">
        <v>4.1841298911703587E-2</v>
      </c>
      <c r="I49" s="5">
        <v>4.2079957261152171E-2</v>
      </c>
      <c r="J49" s="5">
        <v>4.2036019413581482E-2</v>
      </c>
      <c r="K49" s="5">
        <v>3.9079983423124742E-2</v>
      </c>
      <c r="N49" s="3"/>
    </row>
    <row r="50" spans="1:14" x14ac:dyDescent="0.25">
      <c r="A50" t="s">
        <v>209</v>
      </c>
      <c r="B50" s="5"/>
      <c r="C50" s="5">
        <f>(C47-B47)/B47</f>
        <v>-4.3362831858407079E-2</v>
      </c>
      <c r="D50" s="5">
        <f t="shared" ref="D50:K50" si="18">(D47-C47)/C47</f>
        <v>1.2488436632747455E-2</v>
      </c>
      <c r="E50" s="5">
        <f t="shared" si="18"/>
        <v>-1.3704888076747374E-3</v>
      </c>
      <c r="F50" s="5">
        <f t="shared" si="18"/>
        <v>2.5617566331198535E-2</v>
      </c>
      <c r="G50" s="5">
        <f t="shared" si="18"/>
        <v>-0.11061552185548618</v>
      </c>
      <c r="H50" s="5">
        <f t="shared" si="18"/>
        <v>0.19157472417251756</v>
      </c>
      <c r="I50" s="5">
        <f t="shared" si="18"/>
        <v>-5.4713804713804716E-3</v>
      </c>
      <c r="J50" s="5">
        <f t="shared" si="18"/>
        <v>-0.11299195937367752</v>
      </c>
      <c r="K50" s="5">
        <f t="shared" si="18"/>
        <v>-0.10019083969465649</v>
      </c>
      <c r="N50" s="3"/>
    </row>
    <row r="51" spans="1:14" x14ac:dyDescent="0.25">
      <c r="A51" t="s">
        <v>210</v>
      </c>
      <c r="B51" s="5">
        <f>B48/B47</f>
        <v>0.43628318584070797</v>
      </c>
      <c r="C51" s="5">
        <f t="shared" ref="C51:K51" si="19">C48/C47</f>
        <v>0.44912118408880664</v>
      </c>
      <c r="D51" s="5">
        <f t="shared" si="19"/>
        <v>0.44449520328917314</v>
      </c>
      <c r="E51" s="5">
        <f t="shared" si="19"/>
        <v>0.42909423604757546</v>
      </c>
      <c r="F51" s="5">
        <f t="shared" si="19"/>
        <v>0.39875111507582517</v>
      </c>
      <c r="G51" s="5">
        <f t="shared" si="19"/>
        <v>0.33450351053159477</v>
      </c>
      <c r="H51" s="5">
        <f t="shared" si="19"/>
        <v>0.36994949494949497</v>
      </c>
      <c r="I51" s="5">
        <f t="shared" si="19"/>
        <v>0.33008887008040627</v>
      </c>
      <c r="J51" s="5">
        <f t="shared" si="19"/>
        <v>0.35591603053435117</v>
      </c>
      <c r="K51" s="5">
        <f t="shared" si="19"/>
        <v>0.3653234358430541</v>
      </c>
      <c r="L51" s="20">
        <f>AVERAGE(B51:K51)</f>
        <v>0.39135262662809894</v>
      </c>
      <c r="M51" s="20">
        <f>F51-H51</f>
        <v>2.8801620126330196E-2</v>
      </c>
      <c r="N51" s="3"/>
    </row>
    <row r="52" spans="1:14" x14ac:dyDescent="0.25">
      <c r="A52" t="s">
        <v>211</v>
      </c>
      <c r="B52" s="1">
        <v>7015</v>
      </c>
      <c r="C52" s="1">
        <v>6460</v>
      </c>
      <c r="D52" s="1">
        <v>6655</v>
      </c>
      <c r="E52" s="1">
        <v>6240</v>
      </c>
      <c r="F52" s="1">
        <v>6680</v>
      </c>
      <c r="G52" s="1">
        <v>6155</v>
      </c>
      <c r="H52" s="1">
        <v>5965</v>
      </c>
      <c r="I52" s="1">
        <v>5780</v>
      </c>
      <c r="J52" s="1">
        <v>4935</v>
      </c>
      <c r="K52" s="1">
        <v>4070</v>
      </c>
    </row>
    <row r="53" spans="1:14" x14ac:dyDescent="0.25">
      <c r="A53" t="s">
        <v>212</v>
      </c>
      <c r="B53" s="1">
        <v>2765</v>
      </c>
      <c r="C53" s="1">
        <v>2440</v>
      </c>
      <c r="D53" s="1">
        <v>2290</v>
      </c>
      <c r="E53" s="1">
        <v>2410</v>
      </c>
      <c r="F53" s="1">
        <v>2090</v>
      </c>
      <c r="G53" s="1">
        <v>2170</v>
      </c>
      <c r="H53" s="1">
        <v>1675</v>
      </c>
      <c r="I53" s="1">
        <v>1530</v>
      </c>
      <c r="J53" s="1">
        <v>1495</v>
      </c>
      <c r="K53" s="1">
        <v>1340</v>
      </c>
    </row>
    <row r="54" spans="1:14" x14ac:dyDescent="0.25">
      <c r="A54" t="s">
        <v>213</v>
      </c>
      <c r="B54" s="5">
        <v>2.6456722609843483E-2</v>
      </c>
      <c r="C54" s="5">
        <v>2.4333283109838781E-2</v>
      </c>
      <c r="D54" s="5">
        <v>2.6004728132387706E-2</v>
      </c>
      <c r="E54" s="5">
        <v>2.5120772946859903E-2</v>
      </c>
      <c r="F54" s="5">
        <v>2.7048367177535278E-2</v>
      </c>
      <c r="G54" s="5">
        <v>2.4454200520471207E-2</v>
      </c>
      <c r="H54" s="5">
        <v>2.1008699327298982E-2</v>
      </c>
      <c r="I54" s="5">
        <v>2.0585878372362212E-2</v>
      </c>
      <c r="J54" s="5">
        <v>1.979463318759777E-2</v>
      </c>
      <c r="K54" s="5">
        <v>1.6866970576046414E-2</v>
      </c>
      <c r="N54" s="3"/>
    </row>
    <row r="55" spans="1:14" x14ac:dyDescent="0.25">
      <c r="A55" t="s">
        <v>214</v>
      </c>
      <c r="B55" s="5"/>
      <c r="C55" s="5">
        <f>(C52-B52)/B52</f>
        <v>-7.9116179615110471E-2</v>
      </c>
      <c r="D55" s="5">
        <f t="shared" ref="D55:K55" si="20">(D52-C52)/C52</f>
        <v>3.018575851393189E-2</v>
      </c>
      <c r="E55" s="5">
        <f t="shared" si="20"/>
        <v>-6.2359128474830952E-2</v>
      </c>
      <c r="F55" s="5">
        <f t="shared" si="20"/>
        <v>7.0512820512820512E-2</v>
      </c>
      <c r="G55" s="5">
        <f t="shared" si="20"/>
        <v>-7.859281437125748E-2</v>
      </c>
      <c r="H55" s="5">
        <f t="shared" si="20"/>
        <v>-3.0869212022745736E-2</v>
      </c>
      <c r="I55" s="5">
        <f t="shared" si="20"/>
        <v>-3.1014249790444259E-2</v>
      </c>
      <c r="J55" s="5">
        <f t="shared" si="20"/>
        <v>-0.14619377162629757</v>
      </c>
      <c r="K55" s="5">
        <f t="shared" si="20"/>
        <v>-0.17527862208713271</v>
      </c>
      <c r="N55" s="3"/>
    </row>
    <row r="56" spans="1:14" x14ac:dyDescent="0.25">
      <c r="A56" t="s">
        <v>215</v>
      </c>
      <c r="B56" s="5">
        <f>B53/B52</f>
        <v>0.39415538132573058</v>
      </c>
      <c r="C56" s="5">
        <f t="shared" ref="C56:K56" si="21">C53/C52</f>
        <v>0.37770897832817335</v>
      </c>
      <c r="D56" s="5">
        <f t="shared" si="21"/>
        <v>0.3441021788129226</v>
      </c>
      <c r="E56" s="5">
        <f t="shared" si="21"/>
        <v>0.38621794871794873</v>
      </c>
      <c r="F56" s="5">
        <f t="shared" si="21"/>
        <v>0.31287425149700598</v>
      </c>
      <c r="G56" s="5">
        <f t="shared" si="21"/>
        <v>0.35255889520714867</v>
      </c>
      <c r="H56" s="5">
        <f t="shared" si="21"/>
        <v>0.28080469404861691</v>
      </c>
      <c r="I56" s="5">
        <f t="shared" si="21"/>
        <v>0.26470588235294118</v>
      </c>
      <c r="J56" s="5">
        <f t="shared" si="21"/>
        <v>0.30293819655521781</v>
      </c>
      <c r="K56" s="5">
        <f t="shared" si="21"/>
        <v>0.32923832923832924</v>
      </c>
      <c r="L56" s="20">
        <f>AVERAGE(B56:K56)</f>
        <v>0.33453047360840349</v>
      </c>
      <c r="M56" s="20">
        <f>F56-H56</f>
        <v>3.2069557448389074E-2</v>
      </c>
      <c r="N56" s="3"/>
    </row>
    <row r="57" spans="1:14" x14ac:dyDescent="0.25">
      <c r="A57" t="s">
        <v>216</v>
      </c>
      <c r="B57" s="1">
        <v>6230</v>
      </c>
      <c r="C57" s="1">
        <v>5715</v>
      </c>
      <c r="D57" s="1">
        <v>5455</v>
      </c>
      <c r="E57" s="1">
        <v>5390</v>
      </c>
      <c r="F57" s="1">
        <v>5310</v>
      </c>
      <c r="G57" s="1">
        <v>6485</v>
      </c>
      <c r="H57" s="1">
        <v>6150</v>
      </c>
      <c r="I57" s="1">
        <v>6110</v>
      </c>
      <c r="J57" s="1">
        <v>5395</v>
      </c>
      <c r="K57" s="1">
        <v>4915</v>
      </c>
    </row>
    <row r="58" spans="1:14" x14ac:dyDescent="0.25">
      <c r="A58" t="s">
        <v>217</v>
      </c>
      <c r="B58" s="1">
        <v>2445</v>
      </c>
      <c r="C58" s="1">
        <v>2310</v>
      </c>
      <c r="D58" s="1">
        <v>2105</v>
      </c>
      <c r="E58" s="1">
        <v>2150</v>
      </c>
      <c r="F58" s="1">
        <v>1890</v>
      </c>
      <c r="G58" s="1">
        <v>2175</v>
      </c>
      <c r="H58" s="1">
        <v>1940</v>
      </c>
      <c r="I58" s="1">
        <v>1935</v>
      </c>
      <c r="J58" s="1">
        <v>1815</v>
      </c>
      <c r="K58" s="1">
        <v>1785</v>
      </c>
    </row>
    <row r="59" spans="1:14" x14ac:dyDescent="0.25">
      <c r="A59" t="s">
        <v>218</v>
      </c>
      <c r="B59" s="5">
        <v>2.3496134263624364E-2</v>
      </c>
      <c r="C59" s="5">
        <v>2.1527045351815578E-2</v>
      </c>
      <c r="D59" s="5">
        <v>2.1315671218959421E-2</v>
      </c>
      <c r="E59" s="5">
        <v>2.1698872785829309E-2</v>
      </c>
      <c r="F59" s="5">
        <v>2.1501022412082682E-2</v>
      </c>
      <c r="G59" s="5">
        <v>2.5765311190130914E-2</v>
      </c>
      <c r="H59" s="5">
        <v>2.1660268376008172E-2</v>
      </c>
      <c r="I59" s="5">
        <v>2.1761196687739293E-2</v>
      </c>
      <c r="J59" s="5">
        <v>2.1639725642774055E-2</v>
      </c>
      <c r="K59" s="5">
        <v>2.0368835474513056E-2</v>
      </c>
      <c r="N59" s="3"/>
    </row>
    <row r="60" spans="1:14" x14ac:dyDescent="0.25">
      <c r="A60" t="s">
        <v>219</v>
      </c>
      <c r="B60" s="5"/>
      <c r="C60" s="5">
        <f>(C57-B57)/B57</f>
        <v>-8.26645264847512E-2</v>
      </c>
      <c r="D60" s="5">
        <f t="shared" ref="D60:K60" si="22">(D57-C57)/C57</f>
        <v>-4.5494313210848646E-2</v>
      </c>
      <c r="E60" s="5">
        <f t="shared" si="22"/>
        <v>-1.1915673693858845E-2</v>
      </c>
      <c r="F60" s="5">
        <f t="shared" si="22"/>
        <v>-1.4842300556586271E-2</v>
      </c>
      <c r="G60" s="5">
        <f t="shared" si="22"/>
        <v>0.22128060263653485</v>
      </c>
      <c r="H60" s="5">
        <f t="shared" si="22"/>
        <v>-5.1657671549730146E-2</v>
      </c>
      <c r="I60" s="5">
        <f t="shared" si="22"/>
        <v>-6.5040650406504065E-3</v>
      </c>
      <c r="J60" s="5">
        <f t="shared" si="22"/>
        <v>-0.11702127659574468</v>
      </c>
      <c r="K60" s="5">
        <f t="shared" si="22"/>
        <v>-8.8971269694161262E-2</v>
      </c>
      <c r="N60" s="3"/>
    </row>
    <row r="61" spans="1:14" x14ac:dyDescent="0.25">
      <c r="A61" t="s">
        <v>220</v>
      </c>
      <c r="B61" s="5">
        <f>B58/B57</f>
        <v>0.3924558587479936</v>
      </c>
      <c r="C61" s="5">
        <f t="shared" ref="C61:K61" si="23">C58/C57</f>
        <v>0.40419947506561682</v>
      </c>
      <c r="D61" s="5">
        <f t="shared" si="23"/>
        <v>0.38588450962419796</v>
      </c>
      <c r="E61" s="5">
        <f t="shared" si="23"/>
        <v>0.39888682745825604</v>
      </c>
      <c r="F61" s="5">
        <f t="shared" si="23"/>
        <v>0.3559322033898305</v>
      </c>
      <c r="G61" s="5">
        <f t="shared" si="23"/>
        <v>0.3353893600616808</v>
      </c>
      <c r="H61" s="5">
        <f t="shared" si="23"/>
        <v>0.3154471544715447</v>
      </c>
      <c r="I61" s="5">
        <f t="shared" si="23"/>
        <v>0.31669394435351883</v>
      </c>
      <c r="J61" s="5">
        <f t="shared" si="23"/>
        <v>0.33642261353104724</v>
      </c>
      <c r="K61" s="5">
        <f t="shared" si="23"/>
        <v>0.36317395727365209</v>
      </c>
      <c r="L61" s="20">
        <f>AVERAGE(B61:K61)</f>
        <v>0.3604485903977338</v>
      </c>
      <c r="M61" s="20">
        <f>F61-H61</f>
        <v>4.0485048918285804E-2</v>
      </c>
      <c r="N61" s="3"/>
    </row>
    <row r="62" spans="1:14" x14ac:dyDescent="0.25">
      <c r="A62" t="s">
        <v>221</v>
      </c>
      <c r="B62" s="1">
        <v>1425</v>
      </c>
      <c r="C62" s="1">
        <v>1405</v>
      </c>
      <c r="D62" s="1">
        <v>1490</v>
      </c>
      <c r="E62" s="1">
        <v>1290</v>
      </c>
      <c r="F62" s="1">
        <v>1280</v>
      </c>
      <c r="G62" s="1">
        <v>1315</v>
      </c>
      <c r="H62" s="1">
        <v>1630</v>
      </c>
      <c r="I62" s="1">
        <v>1710</v>
      </c>
      <c r="J62" s="1">
        <v>1430</v>
      </c>
      <c r="K62" s="1">
        <v>1345</v>
      </c>
    </row>
    <row r="63" spans="1:14" x14ac:dyDescent="0.25">
      <c r="A63" t="s">
        <v>222</v>
      </c>
      <c r="B63" s="1">
        <v>535</v>
      </c>
      <c r="C63" s="1">
        <v>570</v>
      </c>
      <c r="D63" s="1">
        <v>615</v>
      </c>
      <c r="E63" s="1">
        <v>550</v>
      </c>
      <c r="F63" s="1">
        <v>445</v>
      </c>
      <c r="G63" s="1">
        <v>370</v>
      </c>
      <c r="H63" s="1">
        <v>420</v>
      </c>
      <c r="I63" s="1">
        <v>480</v>
      </c>
      <c r="J63" s="1">
        <v>400</v>
      </c>
      <c r="K63" s="1">
        <v>375</v>
      </c>
    </row>
    <row r="64" spans="1:14" x14ac:dyDescent="0.25">
      <c r="A64" t="s">
        <v>223</v>
      </c>
      <c r="B64" s="5">
        <v>5.3743164246652835E-3</v>
      </c>
      <c r="C64" s="5">
        <v>5.2923007382853701E-3</v>
      </c>
      <c r="D64" s="5">
        <v>5.8222456675067896E-3</v>
      </c>
      <c r="E64" s="5">
        <v>5.1932367149758454E-3</v>
      </c>
      <c r="F64" s="5">
        <v>5.1829206567732267E-3</v>
      </c>
      <c r="G64" s="5">
        <v>5.2245773654621668E-3</v>
      </c>
      <c r="H64" s="5">
        <v>5.7408516183566375E-3</v>
      </c>
      <c r="I64" s="5">
        <v>6.0902858160448757E-3</v>
      </c>
      <c r="J64" s="5">
        <v>5.7358308932654129E-3</v>
      </c>
      <c r="K64" s="5">
        <v>5.5739743058433487E-3</v>
      </c>
      <c r="N64" s="3"/>
    </row>
    <row r="65" spans="1:14" x14ac:dyDescent="0.25">
      <c r="A65" t="s">
        <v>224</v>
      </c>
      <c r="B65" s="5"/>
      <c r="C65" s="5">
        <f>(C62-B62)/B62</f>
        <v>-1.4035087719298246E-2</v>
      </c>
      <c r="D65" s="5">
        <f t="shared" ref="D65:K65" si="24">(D62-C62)/C62</f>
        <v>6.0498220640569395E-2</v>
      </c>
      <c r="E65" s="5">
        <f t="shared" si="24"/>
        <v>-0.13422818791946309</v>
      </c>
      <c r="F65" s="5">
        <f t="shared" si="24"/>
        <v>-7.7519379844961239E-3</v>
      </c>
      <c r="G65" s="5">
        <f t="shared" si="24"/>
        <v>2.734375E-2</v>
      </c>
      <c r="H65" s="5">
        <f t="shared" si="24"/>
        <v>0.23954372623574144</v>
      </c>
      <c r="I65" s="5">
        <f t="shared" si="24"/>
        <v>4.9079754601226995E-2</v>
      </c>
      <c r="J65" s="5">
        <f t="shared" si="24"/>
        <v>-0.16374269005847952</v>
      </c>
      <c r="K65" s="5">
        <f t="shared" si="24"/>
        <v>-5.944055944055944E-2</v>
      </c>
      <c r="N65" s="3"/>
    </row>
    <row r="66" spans="1:14" x14ac:dyDescent="0.25">
      <c r="A66" t="s">
        <v>225</v>
      </c>
      <c r="B66" s="5">
        <f>B63/B62</f>
        <v>0.37543859649122807</v>
      </c>
      <c r="C66" s="5">
        <f t="shared" ref="C66:K66" si="25">C63/C62</f>
        <v>0.40569395017793597</v>
      </c>
      <c r="D66" s="5">
        <f t="shared" si="25"/>
        <v>0.41275167785234901</v>
      </c>
      <c r="E66" s="5">
        <f t="shared" si="25"/>
        <v>0.4263565891472868</v>
      </c>
      <c r="F66" s="5">
        <f t="shared" si="25"/>
        <v>0.34765625</v>
      </c>
      <c r="G66" s="5">
        <f t="shared" si="25"/>
        <v>0.28136882129277568</v>
      </c>
      <c r="H66" s="5">
        <f t="shared" si="25"/>
        <v>0.25766871165644173</v>
      </c>
      <c r="I66" s="5">
        <f t="shared" si="25"/>
        <v>0.2807017543859649</v>
      </c>
      <c r="J66" s="5">
        <f t="shared" si="25"/>
        <v>0.27972027972027974</v>
      </c>
      <c r="K66" s="5">
        <f t="shared" si="25"/>
        <v>0.27881040892193309</v>
      </c>
      <c r="L66" s="20">
        <f>AVERAGE(B66:K66)</f>
        <v>0.33461670396461946</v>
      </c>
      <c r="M66" s="20">
        <f>F66-H66</f>
        <v>8.9987538343558271E-2</v>
      </c>
      <c r="N66" s="3"/>
    </row>
    <row r="67" spans="1:14" x14ac:dyDescent="0.25">
      <c r="A67" t="s">
        <v>226</v>
      </c>
      <c r="B67" s="1">
        <v>21845</v>
      </c>
      <c r="C67" s="1">
        <v>20350</v>
      </c>
      <c r="D67" s="1">
        <v>20650</v>
      </c>
      <c r="E67" s="1">
        <v>20970</v>
      </c>
      <c r="F67" s="1">
        <v>19610</v>
      </c>
      <c r="G67" s="1">
        <v>19040</v>
      </c>
      <c r="H67" s="1">
        <v>21780</v>
      </c>
      <c r="I67" s="1">
        <v>21810</v>
      </c>
      <c r="J67" s="1">
        <v>18765</v>
      </c>
      <c r="K67" s="1">
        <v>18890</v>
      </c>
    </row>
    <row r="68" spans="1:14" x14ac:dyDescent="0.25">
      <c r="A68" t="s">
        <v>227</v>
      </c>
      <c r="B68" s="1">
        <v>9970</v>
      </c>
      <c r="C68" s="1">
        <v>8775</v>
      </c>
      <c r="D68" s="1">
        <v>8495</v>
      </c>
      <c r="E68" s="1">
        <v>9100</v>
      </c>
      <c r="F68" s="1">
        <v>8315</v>
      </c>
      <c r="G68" s="1">
        <v>6945</v>
      </c>
      <c r="H68" s="1">
        <v>7600</v>
      </c>
      <c r="I68" s="1">
        <v>7350</v>
      </c>
      <c r="J68" s="1">
        <v>7195</v>
      </c>
      <c r="K68" s="1">
        <v>7450</v>
      </c>
    </row>
    <row r="69" spans="1:14" x14ac:dyDescent="0.25">
      <c r="A69" t="s">
        <v>228</v>
      </c>
      <c r="B69" s="5">
        <v>8.2387327927588155E-2</v>
      </c>
      <c r="C69" s="5">
        <v>7.6653608558083466E-2</v>
      </c>
      <c r="D69" s="5">
        <v>8.0690854385245106E-2</v>
      </c>
      <c r="E69" s="5">
        <v>8.4420289855072467E-2</v>
      </c>
      <c r="F69" s="5">
        <v>7.940396412447108E-2</v>
      </c>
      <c r="G69" s="5">
        <v>7.5647112576729778E-2</v>
      </c>
      <c r="H69" s="5">
        <v>7.6709048004789906E-2</v>
      </c>
      <c r="I69" s="5">
        <v>7.7677855934467105E-2</v>
      </c>
      <c r="J69" s="5">
        <v>7.5267738959528305E-2</v>
      </c>
      <c r="K69" s="5">
        <v>7.8284293410692082E-2</v>
      </c>
      <c r="N69" s="3"/>
    </row>
    <row r="70" spans="1:14" x14ac:dyDescent="0.25">
      <c r="A70" t="s">
        <v>229</v>
      </c>
      <c r="B70" s="5"/>
      <c r="C70" s="5">
        <f>(C67-B67)/B67</f>
        <v>-6.8436713206683458E-2</v>
      </c>
      <c r="D70" s="5">
        <f t="shared" ref="D70:K70" si="26">(D67-C67)/C67</f>
        <v>1.4742014742014743E-2</v>
      </c>
      <c r="E70" s="5">
        <f t="shared" si="26"/>
        <v>1.549636803874092E-2</v>
      </c>
      <c r="F70" s="5">
        <f t="shared" si="26"/>
        <v>-6.4854554124940386E-2</v>
      </c>
      <c r="G70" s="5">
        <f t="shared" si="26"/>
        <v>-2.9066802651708312E-2</v>
      </c>
      <c r="H70" s="5">
        <f t="shared" si="26"/>
        <v>0.14390756302521007</v>
      </c>
      <c r="I70" s="5">
        <f t="shared" si="26"/>
        <v>1.3774104683195593E-3</v>
      </c>
      <c r="J70" s="5">
        <f t="shared" si="26"/>
        <v>-0.13961485557083905</v>
      </c>
      <c r="K70" s="5">
        <f t="shared" si="26"/>
        <v>6.6613375965893949E-3</v>
      </c>
      <c r="N70" s="3"/>
    </row>
    <row r="71" spans="1:14" x14ac:dyDescent="0.25">
      <c r="A71" t="s">
        <v>230</v>
      </c>
      <c r="B71" s="5">
        <f>B68/B67</f>
        <v>0.45639734493018996</v>
      </c>
      <c r="C71" s="5">
        <f t="shared" ref="C71:K71" si="27">C68/C67</f>
        <v>0.43120393120393119</v>
      </c>
      <c r="D71" s="5">
        <f t="shared" si="27"/>
        <v>0.41138014527845035</v>
      </c>
      <c r="E71" s="5">
        <f t="shared" si="27"/>
        <v>0.4339532665712923</v>
      </c>
      <c r="F71" s="5">
        <f t="shared" si="27"/>
        <v>0.42401835798062215</v>
      </c>
      <c r="G71" s="5">
        <f t="shared" si="27"/>
        <v>0.36475840336134452</v>
      </c>
      <c r="H71" s="5">
        <f t="shared" si="27"/>
        <v>0.34894398530762166</v>
      </c>
      <c r="I71" s="5">
        <f t="shared" si="27"/>
        <v>0.33700137551581844</v>
      </c>
      <c r="J71" s="5">
        <f t="shared" si="27"/>
        <v>0.3834265920596856</v>
      </c>
      <c r="K71" s="5">
        <f t="shared" si="27"/>
        <v>0.39438856537850714</v>
      </c>
      <c r="L71" s="20">
        <f>AVERAGE(B71:K71)</f>
        <v>0.39854719675874634</v>
      </c>
      <c r="M71" s="20">
        <f>F71-H71</f>
        <v>7.5074372673000489E-2</v>
      </c>
      <c r="N71" s="3"/>
    </row>
    <row r="72" spans="1:14" x14ac:dyDescent="0.25">
      <c r="A72" t="s">
        <v>231</v>
      </c>
      <c r="B72" s="1">
        <v>30040</v>
      </c>
      <c r="C72" s="1">
        <v>28445</v>
      </c>
      <c r="D72" s="1">
        <v>27930</v>
      </c>
      <c r="E72" s="1">
        <v>27105</v>
      </c>
      <c r="F72" s="1">
        <v>25960</v>
      </c>
      <c r="G72" s="1">
        <v>25855</v>
      </c>
      <c r="H72" s="1">
        <v>28935</v>
      </c>
      <c r="I72" s="1">
        <v>28985</v>
      </c>
      <c r="J72" s="1">
        <v>24970</v>
      </c>
      <c r="K72" s="1">
        <v>23175</v>
      </c>
    </row>
    <row r="73" spans="1:14" x14ac:dyDescent="0.25">
      <c r="A73" t="s">
        <v>232</v>
      </c>
      <c r="B73" s="1">
        <v>12165</v>
      </c>
      <c r="C73" s="1">
        <v>11450</v>
      </c>
      <c r="D73" s="1">
        <v>12175</v>
      </c>
      <c r="E73" s="1">
        <v>12385</v>
      </c>
      <c r="F73" s="1">
        <v>11190</v>
      </c>
      <c r="G73" s="1">
        <v>10255</v>
      </c>
      <c r="H73" s="1">
        <v>10955</v>
      </c>
      <c r="I73" s="1">
        <v>10870</v>
      </c>
      <c r="J73" s="1">
        <v>9770</v>
      </c>
      <c r="K73" s="1">
        <v>9120</v>
      </c>
    </row>
    <row r="74" spans="1:14" x14ac:dyDescent="0.25">
      <c r="A74" t="s">
        <v>233</v>
      </c>
      <c r="B74" s="5">
        <v>0.11329436168206676</v>
      </c>
      <c r="C74" s="5">
        <v>0.10714554768720808</v>
      </c>
      <c r="D74" s="5">
        <v>0.10913779966004337</v>
      </c>
      <c r="E74" s="5">
        <v>0.1091183574879227</v>
      </c>
      <c r="F74" s="5">
        <v>0.10511610957018201</v>
      </c>
      <c r="G74" s="5">
        <v>0.10272353443652039</v>
      </c>
      <c r="H74" s="5">
        <v>0.10190892121297503</v>
      </c>
      <c r="I74" s="5">
        <v>0.10323212536728697</v>
      </c>
      <c r="J74" s="5">
        <v>0.10015643175163451</v>
      </c>
      <c r="K74" s="5">
        <v>9.6042271031910487E-2</v>
      </c>
      <c r="N74" s="3"/>
    </row>
    <row r="75" spans="1:14" x14ac:dyDescent="0.25">
      <c r="A75" t="s">
        <v>234</v>
      </c>
      <c r="B75" s="5"/>
      <c r="C75" s="5">
        <f>(C72-B72)/B72</f>
        <v>-5.3095872170439415E-2</v>
      </c>
      <c r="D75" s="5">
        <f t="shared" ref="D75:K75" si="28">(D72-C72)/C72</f>
        <v>-1.810511513447003E-2</v>
      </c>
      <c r="E75" s="5">
        <f t="shared" si="28"/>
        <v>-2.9538131041890441E-2</v>
      </c>
      <c r="F75" s="5">
        <f t="shared" si="28"/>
        <v>-4.2243128574063829E-2</v>
      </c>
      <c r="G75" s="5">
        <f t="shared" si="28"/>
        <v>-4.0446841294298919E-3</v>
      </c>
      <c r="H75" s="5">
        <f t="shared" si="28"/>
        <v>0.11912589441113905</v>
      </c>
      <c r="I75" s="5">
        <f t="shared" si="28"/>
        <v>1.7280110592707793E-3</v>
      </c>
      <c r="J75" s="5">
        <f t="shared" si="28"/>
        <v>-0.13851992409867173</v>
      </c>
      <c r="K75" s="5">
        <f t="shared" si="28"/>
        <v>-7.1886263516219462E-2</v>
      </c>
      <c r="N75" s="3"/>
    </row>
    <row r="76" spans="1:14" x14ac:dyDescent="0.25">
      <c r="A76" t="s">
        <v>235</v>
      </c>
      <c r="B76" s="5">
        <f>B73/B72</f>
        <v>0.40496005326231693</v>
      </c>
      <c r="C76" s="5">
        <f t="shared" ref="C76:K76" si="29">C73/C72</f>
        <v>0.40253120056248903</v>
      </c>
      <c r="D76" s="5">
        <f t="shared" si="29"/>
        <v>0.43591120658789834</v>
      </c>
      <c r="E76" s="5">
        <f t="shared" si="29"/>
        <v>0.45692676627928425</v>
      </c>
      <c r="F76" s="5">
        <f t="shared" si="29"/>
        <v>0.43104776579352849</v>
      </c>
      <c r="G76" s="5">
        <f t="shared" si="29"/>
        <v>0.39663508025526978</v>
      </c>
      <c r="H76" s="5">
        <f t="shared" si="29"/>
        <v>0.37860722308622774</v>
      </c>
      <c r="I76" s="5">
        <f t="shared" si="29"/>
        <v>0.37502156287735033</v>
      </c>
      <c r="J76" s="5">
        <f t="shared" si="29"/>
        <v>0.39126952342811372</v>
      </c>
      <c r="K76" s="5">
        <f t="shared" si="29"/>
        <v>0.39352750809061487</v>
      </c>
      <c r="L76" s="20">
        <f>AVERAGE(B76:K76)</f>
        <v>0.4066437890223093</v>
      </c>
      <c r="M76" s="20">
        <f>F76-H76</f>
        <v>5.2440542707300752E-2</v>
      </c>
      <c r="N76" s="3"/>
    </row>
    <row r="77" spans="1:14" x14ac:dyDescent="0.25">
      <c r="A77" t="s">
        <v>236</v>
      </c>
      <c r="B77" s="1">
        <v>1660</v>
      </c>
      <c r="C77" s="1">
        <v>1445</v>
      </c>
      <c r="D77" s="1">
        <v>1210</v>
      </c>
      <c r="E77" s="1">
        <v>1030</v>
      </c>
      <c r="F77" s="1">
        <v>905</v>
      </c>
      <c r="G77" s="1">
        <v>925</v>
      </c>
      <c r="H77" s="1">
        <v>1215</v>
      </c>
      <c r="I77" s="1">
        <v>1300</v>
      </c>
      <c r="J77" s="1">
        <v>1170</v>
      </c>
      <c r="K77" s="1">
        <v>1210</v>
      </c>
    </row>
    <row r="78" spans="1:14" x14ac:dyDescent="0.25">
      <c r="A78" t="s">
        <v>237</v>
      </c>
      <c r="B78" s="1">
        <v>585</v>
      </c>
      <c r="C78" s="1">
        <v>550</v>
      </c>
      <c r="D78" s="1">
        <v>530</v>
      </c>
      <c r="E78" s="1">
        <v>370</v>
      </c>
      <c r="F78" s="1">
        <v>420</v>
      </c>
      <c r="G78" s="1">
        <v>335</v>
      </c>
      <c r="H78" s="1">
        <v>290</v>
      </c>
      <c r="I78" s="1">
        <v>400</v>
      </c>
      <c r="J78" s="1">
        <v>345</v>
      </c>
      <c r="K78" s="1">
        <v>370</v>
      </c>
    </row>
    <row r="79" spans="1:14" x14ac:dyDescent="0.25">
      <c r="A79" t="s">
        <v>238</v>
      </c>
      <c r="B79" s="5">
        <v>6.2606072034697337E-3</v>
      </c>
      <c r="C79" s="5">
        <v>5.4429712219376224E-3</v>
      </c>
      <c r="D79" s="5">
        <v>4.7281323877068557E-3</v>
      </c>
      <c r="E79" s="5">
        <v>4.1465378421900161E-3</v>
      </c>
      <c r="F79" s="5">
        <v>3.6644868706091956E-3</v>
      </c>
      <c r="G79" s="5">
        <v>3.6750829376825125E-3</v>
      </c>
      <c r="H79" s="5">
        <v>4.2792237523333219E-3</v>
      </c>
      <c r="I79" s="5">
        <v>4.6300418484551686E-3</v>
      </c>
      <c r="J79" s="5">
        <v>4.6929525490353374E-3</v>
      </c>
      <c r="K79" s="5">
        <v>5.0145047658516368E-3</v>
      </c>
      <c r="N79" s="3"/>
    </row>
    <row r="80" spans="1:14" x14ac:dyDescent="0.25">
      <c r="A80" t="s">
        <v>239</v>
      </c>
      <c r="B80" s="5"/>
      <c r="C80" s="5">
        <f>(C77-B77)/B77</f>
        <v>-0.12951807228915663</v>
      </c>
      <c r="D80" s="5">
        <f t="shared" ref="D80:K80" si="30">(D77-C77)/C77</f>
        <v>-0.16262975778546712</v>
      </c>
      <c r="E80" s="5">
        <f t="shared" si="30"/>
        <v>-0.1487603305785124</v>
      </c>
      <c r="F80" s="5">
        <f t="shared" si="30"/>
        <v>-0.12135922330097088</v>
      </c>
      <c r="G80" s="5">
        <f t="shared" si="30"/>
        <v>2.2099447513812154E-2</v>
      </c>
      <c r="H80" s="5">
        <f t="shared" si="30"/>
        <v>0.31351351351351353</v>
      </c>
      <c r="I80" s="5">
        <f t="shared" si="30"/>
        <v>6.9958847736625515E-2</v>
      </c>
      <c r="J80" s="5">
        <f t="shared" si="30"/>
        <v>-0.1</v>
      </c>
      <c r="K80" s="5">
        <f t="shared" si="30"/>
        <v>3.4188034188034191E-2</v>
      </c>
      <c r="N80" s="3"/>
    </row>
    <row r="81" spans="1:14" x14ac:dyDescent="0.25">
      <c r="A81" t="s">
        <v>240</v>
      </c>
      <c r="B81" s="5">
        <f>B78/B77</f>
        <v>0.35240963855421686</v>
      </c>
      <c r="C81" s="5">
        <f t="shared" ref="C81:K81" si="31">C78/C77</f>
        <v>0.38062283737024222</v>
      </c>
      <c r="D81" s="5">
        <f t="shared" si="31"/>
        <v>0.43801652892561982</v>
      </c>
      <c r="E81" s="5">
        <f t="shared" si="31"/>
        <v>0.35922330097087379</v>
      </c>
      <c r="F81" s="5">
        <f t="shared" si="31"/>
        <v>0.46408839779005523</v>
      </c>
      <c r="G81" s="5">
        <f t="shared" si="31"/>
        <v>0.36216216216216218</v>
      </c>
      <c r="H81" s="5">
        <f t="shared" si="31"/>
        <v>0.23868312757201646</v>
      </c>
      <c r="I81" s="5">
        <f t="shared" si="31"/>
        <v>0.30769230769230771</v>
      </c>
      <c r="J81" s="5">
        <f t="shared" si="31"/>
        <v>0.29487179487179488</v>
      </c>
      <c r="K81" s="5">
        <f t="shared" si="31"/>
        <v>0.30578512396694213</v>
      </c>
      <c r="L81" s="20">
        <f>AVERAGE(B81:K81)</f>
        <v>0.3503555219876231</v>
      </c>
      <c r="M81" s="20">
        <f>F81-H81</f>
        <v>0.22540527021803877</v>
      </c>
      <c r="N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ethnicity</vt:lpstr>
      <vt:lpstr>gender</vt:lpstr>
      <vt:lpstr>age</vt:lpstr>
      <vt:lpstr>certificate level</vt:lpstr>
      <vt:lpstr>field of study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Zhang</dc:creator>
  <cp:lastModifiedBy>Yan Zhang</cp:lastModifiedBy>
  <dcterms:created xsi:type="dcterms:W3CDTF">2025-12-07T05:56:48Z</dcterms:created>
  <dcterms:modified xsi:type="dcterms:W3CDTF">2025-12-11T00:07:17Z</dcterms:modified>
</cp:coreProperties>
</file>